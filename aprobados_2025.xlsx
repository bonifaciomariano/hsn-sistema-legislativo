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mariano.bonifacio\Downloads\"/>
    </mc:Choice>
  </mc:AlternateContent>
  <bookViews>
    <workbookView xWindow="0" yWindow="0" windowWidth="9660" windowHeight="5490"/>
  </bookViews>
  <sheets>
    <sheet name="Worksheet" sheetId="1" r:id="rId1"/>
  </sheets>
  <calcPr calcId="162913"/>
</workbook>
</file>

<file path=xl/calcChain.xml><?xml version="1.0" encoding="utf-8"?>
<calcChain xmlns="http://schemas.openxmlformats.org/spreadsheetml/2006/main">
  <c r="B7" i="1" l="1"/>
  <c r="C7" i="1"/>
  <c r="AI7" i="1"/>
  <c r="B8" i="1"/>
  <c r="C8" i="1"/>
  <c r="AI8" i="1"/>
  <c r="B9" i="1"/>
  <c r="C9" i="1"/>
  <c r="AI9" i="1"/>
  <c r="B10" i="1"/>
  <c r="C10" i="1"/>
  <c r="AI10" i="1"/>
  <c r="B11" i="1"/>
  <c r="C11" i="1"/>
  <c r="AI11" i="1"/>
  <c r="B12" i="1"/>
  <c r="C12" i="1"/>
  <c r="AI12" i="1"/>
  <c r="B13" i="1"/>
  <c r="C13" i="1"/>
  <c r="AI13" i="1"/>
  <c r="B14" i="1"/>
  <c r="C14" i="1"/>
  <c r="AI14" i="1"/>
  <c r="B15" i="1"/>
  <c r="C15" i="1"/>
  <c r="AI15" i="1"/>
  <c r="B16" i="1"/>
  <c r="C16" i="1"/>
  <c r="AI16" i="1"/>
  <c r="B17" i="1"/>
  <c r="C17" i="1"/>
  <c r="AI17" i="1"/>
  <c r="B18" i="1"/>
  <c r="C18" i="1"/>
  <c r="AI18" i="1"/>
  <c r="B19" i="1"/>
  <c r="C19" i="1"/>
  <c r="AI19" i="1"/>
  <c r="B20" i="1"/>
  <c r="C20" i="1"/>
  <c r="AI20" i="1"/>
  <c r="B21" i="1"/>
  <c r="C21" i="1"/>
  <c r="AI21" i="1"/>
  <c r="B22" i="1"/>
  <c r="C22" i="1"/>
  <c r="AI22" i="1"/>
  <c r="B23" i="1"/>
  <c r="C23" i="1"/>
  <c r="AI23" i="1"/>
  <c r="B24" i="1"/>
  <c r="C24" i="1"/>
  <c r="AI24" i="1"/>
  <c r="B25" i="1"/>
  <c r="C25" i="1"/>
  <c r="AI25" i="1"/>
  <c r="B26" i="1"/>
  <c r="C26" i="1"/>
  <c r="AI26" i="1"/>
  <c r="B27" i="1"/>
  <c r="C27" i="1"/>
  <c r="AI27" i="1"/>
  <c r="B28" i="1"/>
  <c r="C28" i="1"/>
  <c r="AI28" i="1"/>
  <c r="B29" i="1"/>
  <c r="C29" i="1"/>
  <c r="AI29" i="1"/>
  <c r="B30" i="1"/>
  <c r="C30" i="1"/>
  <c r="AI30" i="1"/>
  <c r="B31" i="1"/>
  <c r="C31" i="1"/>
  <c r="AI31" i="1"/>
  <c r="B32" i="1"/>
  <c r="C32" i="1"/>
  <c r="AI32" i="1"/>
  <c r="B33" i="1"/>
  <c r="C33" i="1"/>
  <c r="AI33" i="1"/>
  <c r="B34" i="1"/>
  <c r="C34" i="1"/>
  <c r="AI34" i="1"/>
  <c r="B35" i="1"/>
  <c r="C35" i="1"/>
  <c r="AI35" i="1"/>
  <c r="B36" i="1"/>
  <c r="C36" i="1"/>
  <c r="AI36" i="1"/>
  <c r="B37" i="1"/>
  <c r="C37" i="1"/>
  <c r="AI37" i="1"/>
  <c r="B38" i="1"/>
  <c r="C38" i="1"/>
  <c r="AI38" i="1"/>
  <c r="B39" i="1"/>
  <c r="C39" i="1"/>
  <c r="AI39" i="1"/>
  <c r="B40" i="1"/>
  <c r="C40" i="1"/>
  <c r="AI40" i="1"/>
  <c r="B41" i="1"/>
  <c r="C41" i="1"/>
  <c r="AI41" i="1"/>
  <c r="B42" i="1"/>
  <c r="C42" i="1"/>
  <c r="AI42" i="1"/>
  <c r="B43" i="1"/>
  <c r="C43" i="1"/>
  <c r="AI43" i="1"/>
  <c r="B44" i="1"/>
  <c r="C44" i="1"/>
  <c r="AI44" i="1"/>
  <c r="B45" i="1"/>
  <c r="C45" i="1"/>
  <c r="AI45" i="1"/>
  <c r="B46" i="1"/>
  <c r="C46" i="1"/>
  <c r="AI46" i="1"/>
  <c r="B47" i="1"/>
  <c r="C47" i="1"/>
  <c r="AI47" i="1"/>
  <c r="B48" i="1"/>
  <c r="C48" i="1"/>
  <c r="AI48" i="1"/>
  <c r="B49" i="1"/>
  <c r="C49" i="1"/>
  <c r="AI49" i="1"/>
  <c r="B50" i="1"/>
  <c r="C50" i="1"/>
  <c r="AI50" i="1"/>
  <c r="B51" i="1"/>
  <c r="C51" i="1"/>
  <c r="AI51" i="1"/>
  <c r="B52" i="1"/>
  <c r="C52" i="1"/>
  <c r="AI52" i="1"/>
  <c r="B53" i="1"/>
  <c r="C53" i="1"/>
  <c r="AI53" i="1"/>
  <c r="B54" i="1"/>
  <c r="C54" i="1"/>
  <c r="AI54" i="1"/>
  <c r="B55" i="1"/>
  <c r="C55" i="1"/>
  <c r="AI55" i="1"/>
  <c r="B56" i="1"/>
  <c r="C56" i="1"/>
  <c r="AI56" i="1"/>
  <c r="B57" i="1"/>
  <c r="C57" i="1"/>
  <c r="AI57" i="1"/>
  <c r="B58" i="1"/>
  <c r="C58" i="1"/>
  <c r="AI58" i="1"/>
  <c r="B59" i="1"/>
  <c r="C59" i="1"/>
  <c r="AI59" i="1"/>
  <c r="B60" i="1"/>
  <c r="C60" i="1"/>
  <c r="AI60" i="1"/>
  <c r="B61" i="1"/>
  <c r="C61" i="1"/>
  <c r="AI61" i="1"/>
  <c r="B62" i="1"/>
  <c r="C62" i="1"/>
  <c r="AI62" i="1"/>
  <c r="B63" i="1"/>
  <c r="C63" i="1"/>
  <c r="AI63" i="1"/>
  <c r="B64" i="1"/>
  <c r="C64" i="1"/>
  <c r="AI64" i="1"/>
  <c r="B65" i="1"/>
  <c r="C65" i="1"/>
  <c r="AI65" i="1"/>
  <c r="B66" i="1"/>
  <c r="C66" i="1"/>
  <c r="AI66" i="1"/>
  <c r="B67" i="1"/>
  <c r="C67" i="1"/>
  <c r="AI67" i="1"/>
  <c r="B68" i="1"/>
  <c r="C68" i="1"/>
  <c r="AI68" i="1"/>
  <c r="B69" i="1"/>
  <c r="C69" i="1"/>
  <c r="AI69" i="1"/>
  <c r="B70" i="1"/>
  <c r="C70" i="1"/>
  <c r="AI70" i="1"/>
  <c r="B71" i="1"/>
  <c r="C71" i="1"/>
  <c r="AI71" i="1"/>
  <c r="B72" i="1"/>
  <c r="C72" i="1"/>
  <c r="AI72" i="1"/>
  <c r="B73" i="1"/>
  <c r="C73" i="1"/>
  <c r="AI73" i="1"/>
  <c r="B74" i="1"/>
  <c r="C74" i="1"/>
  <c r="AI74" i="1"/>
  <c r="B75" i="1"/>
  <c r="C75" i="1"/>
  <c r="AI75" i="1"/>
  <c r="B76" i="1"/>
  <c r="C76" i="1"/>
  <c r="AI76" i="1"/>
  <c r="B77" i="1"/>
  <c r="C77" i="1"/>
  <c r="AI77" i="1"/>
  <c r="B78" i="1"/>
  <c r="C78" i="1"/>
  <c r="AI78" i="1"/>
  <c r="B79" i="1"/>
  <c r="C79" i="1"/>
  <c r="AI79" i="1"/>
  <c r="B80" i="1"/>
  <c r="C80" i="1"/>
  <c r="AI80" i="1"/>
  <c r="B81" i="1"/>
  <c r="C81" i="1"/>
  <c r="AI81" i="1"/>
  <c r="B82" i="1"/>
  <c r="C82" i="1"/>
  <c r="AI82" i="1"/>
  <c r="B83" i="1"/>
  <c r="C83" i="1"/>
  <c r="AI83" i="1"/>
  <c r="B84" i="1"/>
  <c r="C84" i="1"/>
  <c r="AI84" i="1"/>
  <c r="B85" i="1"/>
  <c r="C85" i="1"/>
  <c r="AI85" i="1"/>
  <c r="B86" i="1"/>
  <c r="C86" i="1"/>
  <c r="AI86" i="1"/>
  <c r="B87" i="1"/>
  <c r="C87" i="1"/>
  <c r="AI87" i="1"/>
  <c r="B88" i="1"/>
  <c r="C88" i="1"/>
  <c r="AI88" i="1"/>
  <c r="B89" i="1"/>
  <c r="C89" i="1"/>
  <c r="AI89" i="1"/>
  <c r="B90" i="1"/>
  <c r="C90" i="1"/>
  <c r="AI90" i="1"/>
  <c r="B91" i="1"/>
  <c r="C91" i="1"/>
  <c r="AI91" i="1"/>
  <c r="B92" i="1"/>
  <c r="C92" i="1"/>
  <c r="AI92" i="1"/>
  <c r="B93" i="1"/>
  <c r="C93" i="1"/>
  <c r="AI93" i="1"/>
  <c r="B94" i="1"/>
  <c r="C94" i="1"/>
  <c r="AI94" i="1"/>
  <c r="B95" i="1"/>
  <c r="C95" i="1"/>
  <c r="AI95" i="1"/>
  <c r="B96" i="1"/>
  <c r="C96" i="1"/>
  <c r="AI96" i="1"/>
  <c r="B97" i="1"/>
  <c r="C97" i="1"/>
  <c r="AI97" i="1"/>
  <c r="B98" i="1"/>
  <c r="C98" i="1"/>
  <c r="AI98" i="1"/>
  <c r="B99" i="1"/>
  <c r="C99" i="1"/>
  <c r="AI99" i="1"/>
  <c r="B100" i="1"/>
  <c r="C100" i="1"/>
  <c r="AI100" i="1"/>
  <c r="B101" i="1"/>
  <c r="C101" i="1"/>
  <c r="AI101" i="1"/>
  <c r="B102" i="1"/>
  <c r="C102" i="1"/>
  <c r="AI102" i="1"/>
  <c r="B103" i="1"/>
  <c r="C103" i="1"/>
  <c r="AI103" i="1"/>
  <c r="B104" i="1"/>
  <c r="C104" i="1"/>
  <c r="AI104" i="1"/>
  <c r="B105" i="1"/>
  <c r="C105" i="1"/>
  <c r="AI105" i="1"/>
  <c r="B106" i="1"/>
  <c r="C106" i="1"/>
  <c r="AI106" i="1"/>
  <c r="B107" i="1"/>
  <c r="C107" i="1"/>
  <c r="AI107" i="1"/>
  <c r="B108" i="1"/>
  <c r="C108" i="1"/>
  <c r="AI108" i="1"/>
  <c r="B109" i="1"/>
  <c r="C109" i="1"/>
  <c r="AI109" i="1"/>
  <c r="B110" i="1"/>
  <c r="C110" i="1"/>
  <c r="AI110" i="1"/>
  <c r="B111" i="1"/>
  <c r="C111" i="1"/>
  <c r="AI111" i="1"/>
  <c r="B112" i="1"/>
  <c r="C112" i="1"/>
  <c r="AI112" i="1"/>
  <c r="B113" i="1"/>
  <c r="C113" i="1"/>
  <c r="AI113" i="1"/>
  <c r="B114" i="1"/>
  <c r="C114" i="1"/>
  <c r="AI114" i="1"/>
  <c r="B115" i="1"/>
  <c r="C115" i="1"/>
  <c r="AI115" i="1"/>
  <c r="B116" i="1"/>
  <c r="C116" i="1"/>
  <c r="AI116" i="1"/>
  <c r="B117" i="1"/>
  <c r="C117" i="1"/>
  <c r="AI117" i="1"/>
  <c r="B118" i="1"/>
  <c r="C118" i="1"/>
  <c r="AI118" i="1"/>
  <c r="B119" i="1"/>
  <c r="C119" i="1"/>
  <c r="AI119" i="1"/>
  <c r="B120" i="1"/>
  <c r="C120" i="1"/>
  <c r="AI120" i="1"/>
  <c r="B121" i="1"/>
  <c r="C121" i="1"/>
  <c r="AI121" i="1"/>
  <c r="B122" i="1"/>
  <c r="C122" i="1"/>
  <c r="AI122" i="1"/>
  <c r="B123" i="1"/>
  <c r="C123" i="1"/>
  <c r="AI123" i="1"/>
  <c r="B124" i="1"/>
  <c r="C124" i="1"/>
  <c r="AI124" i="1"/>
  <c r="B125" i="1"/>
  <c r="C125" i="1"/>
  <c r="AI125" i="1"/>
  <c r="B126" i="1"/>
  <c r="C126" i="1"/>
  <c r="AI126" i="1"/>
  <c r="B127" i="1"/>
  <c r="C127" i="1"/>
  <c r="AI127" i="1"/>
  <c r="B128" i="1"/>
  <c r="C128" i="1"/>
  <c r="AI128" i="1"/>
  <c r="B129" i="1"/>
  <c r="C129" i="1"/>
  <c r="AI129" i="1"/>
  <c r="B130" i="1"/>
  <c r="C130" i="1"/>
  <c r="AI130" i="1"/>
  <c r="B131" i="1"/>
  <c r="C131" i="1"/>
  <c r="AI131" i="1"/>
  <c r="B132" i="1"/>
  <c r="C132" i="1"/>
  <c r="AI132" i="1"/>
  <c r="B133" i="1"/>
  <c r="C133" i="1"/>
  <c r="AI133" i="1"/>
  <c r="B134" i="1"/>
  <c r="C134" i="1"/>
  <c r="AI134" i="1"/>
  <c r="B135" i="1"/>
  <c r="C135" i="1"/>
  <c r="AI135" i="1"/>
  <c r="B136" i="1"/>
  <c r="C136" i="1"/>
  <c r="AI136" i="1"/>
  <c r="B137" i="1"/>
  <c r="C137" i="1"/>
  <c r="AI137" i="1"/>
  <c r="B138" i="1"/>
  <c r="C138" i="1"/>
  <c r="AI138" i="1"/>
  <c r="B139" i="1"/>
  <c r="C139" i="1"/>
  <c r="AI139" i="1"/>
  <c r="B140" i="1"/>
  <c r="C140" i="1"/>
  <c r="AI140" i="1"/>
  <c r="B141" i="1"/>
  <c r="C141" i="1"/>
  <c r="AI141" i="1"/>
  <c r="B142" i="1"/>
  <c r="C142" i="1"/>
  <c r="AI142" i="1"/>
  <c r="B143" i="1"/>
  <c r="C143" i="1"/>
  <c r="AI143" i="1"/>
  <c r="B144" i="1"/>
  <c r="C144" i="1"/>
  <c r="AI144" i="1"/>
  <c r="B145" i="1"/>
  <c r="C145" i="1"/>
  <c r="AI145" i="1"/>
  <c r="B146" i="1"/>
  <c r="C146" i="1"/>
  <c r="AI146" i="1"/>
  <c r="B147" i="1"/>
  <c r="C147" i="1"/>
  <c r="AI147" i="1"/>
  <c r="B148" i="1"/>
  <c r="C148" i="1"/>
  <c r="AI148" i="1"/>
  <c r="B149" i="1"/>
  <c r="C149" i="1"/>
  <c r="AI149" i="1"/>
  <c r="B150" i="1"/>
  <c r="C150" i="1"/>
  <c r="AI150" i="1"/>
  <c r="B151" i="1"/>
  <c r="C151" i="1"/>
  <c r="AI151" i="1"/>
  <c r="B152" i="1"/>
  <c r="C152" i="1"/>
  <c r="AI152" i="1"/>
  <c r="B153" i="1"/>
  <c r="C153" i="1"/>
  <c r="AI153" i="1"/>
  <c r="B154" i="1"/>
  <c r="C154" i="1"/>
  <c r="AI154" i="1"/>
  <c r="B155" i="1"/>
  <c r="C155" i="1"/>
  <c r="AI155" i="1"/>
  <c r="B156" i="1"/>
  <c r="C156" i="1"/>
  <c r="AI156" i="1"/>
  <c r="B157" i="1"/>
  <c r="C157" i="1"/>
  <c r="AI157" i="1"/>
  <c r="B158" i="1"/>
  <c r="C158" i="1"/>
  <c r="AI158" i="1"/>
  <c r="B159" i="1"/>
  <c r="C159" i="1"/>
  <c r="AI159" i="1"/>
  <c r="B160" i="1"/>
  <c r="C160" i="1"/>
  <c r="AI160" i="1"/>
  <c r="B161" i="1"/>
  <c r="C161" i="1"/>
  <c r="AI161" i="1"/>
  <c r="B162" i="1"/>
  <c r="C162" i="1"/>
  <c r="AI162" i="1"/>
  <c r="B163" i="1"/>
  <c r="C163" i="1"/>
  <c r="AI163" i="1"/>
  <c r="B164" i="1"/>
  <c r="C164" i="1"/>
  <c r="AI164" i="1"/>
</calcChain>
</file>

<file path=xl/sharedStrings.xml><?xml version="1.0" encoding="utf-8"?>
<sst xmlns="http://schemas.openxmlformats.org/spreadsheetml/2006/main" count="2395" uniqueCount="573">
  <si>
    <t>Honorable Senado De La Nacion</t>
  </si>
  <si>
    <t>Expedientes - Comisión</t>
  </si>
  <si>
    <t>Fecha:20/08/2026</t>
  </si>
  <si>
    <t>ORIGEN</t>
  </si>
  <si>
    <t>NRO.</t>
  </si>
  <si>
    <t>AÑO</t>
  </si>
  <si>
    <t>TIPO</t>
  </si>
  <si>
    <t>CARÁTULA</t>
  </si>
  <si>
    <t>NRO. DAE / DADO CUENTA</t>
  </si>
  <si>
    <t>CADUCA</t>
  </si>
  <si>
    <t>ARCHIVO</t>
  </si>
  <si>
    <t>MESA DE ENTRADAS</t>
  </si>
  <si>
    <t>PRONTO DESPACHO</t>
  </si>
  <si>
    <t>FECHA INGRESO DICTAMEN</t>
  </si>
  <si>
    <t>DIR. COMISIONES</t>
  </si>
  <si>
    <t>MOCIÓN DE PREFERENCIA</t>
  </si>
  <si>
    <t>AUTOR</t>
  </si>
  <si>
    <t>GIRO1</t>
  </si>
  <si>
    <t>COMISION1</t>
  </si>
  <si>
    <t>FECHA_INGRESO1</t>
  </si>
  <si>
    <t>FECHA_EGRESO1</t>
  </si>
  <si>
    <t>GIRO2</t>
  </si>
  <si>
    <t>COMISION2</t>
  </si>
  <si>
    <t>FECHA_INGRESO2</t>
  </si>
  <si>
    <t>FECHA_EGRESO2</t>
  </si>
  <si>
    <t>GIRO3</t>
  </si>
  <si>
    <t>COMISION3</t>
  </si>
  <si>
    <t>FECHA_INGRESO3</t>
  </si>
  <si>
    <t>FECHA_EGRESO3</t>
  </si>
  <si>
    <t>GIRO4</t>
  </si>
  <si>
    <t>COMISION4</t>
  </si>
  <si>
    <t>FECHA_INGRESO4</t>
  </si>
  <si>
    <t>FECHA_EGRESO4</t>
  </si>
  <si>
    <t>GIRO5</t>
  </si>
  <si>
    <t>COMISION5</t>
  </si>
  <si>
    <t>FECHA_INGRESO5</t>
  </si>
  <si>
    <t>FECHA_EGRESO5</t>
  </si>
  <si>
    <t>ORDEN DEL DÍA</t>
  </si>
  <si>
    <t>SANCIONES/SITUACIÓN EXP</t>
  </si>
  <si>
    <t>LEY – FECHA</t>
  </si>
  <si>
    <t>COMUNICACIÓN</t>
  </si>
  <si>
    <t>FECHA_ARCHIVO</t>
  </si>
  <si>
    <t>S</t>
  </si>
  <si>
    <t>PR</t>
  </si>
  <si>
    <t xml:space="preserve">VARIOS SEÑORES SENADORES: PROYECTO DE RESOLUCION QUE MODIFICA EL PUNTO 3 DEL ART. 1 DEL ANEXO I "REGIMEN DE RETIRO ANTICIPADO PREVIO A LA JUBILACION DEL DP. 362/25 RESPECTO DE AMPLIAR DICHO BENEFICIO DE RETIRO ANTICIPADO PREVIO A LA JUBILACION PARA LOS EMPLEADOS LEGISLATIVOS.
</t>
  </si>
  <si>
    <t xml:space="preserve"> 73 04/09/2025 -</t>
  </si>
  <si>
    <t>09/10/2025</t>
  </si>
  <si>
    <t xml:space="preserve"> 21/08/2025 -</t>
  </si>
  <si>
    <t xml:space="preserve">  -</t>
  </si>
  <si>
    <t xml:space="preserve"> 29/08/2025 -</t>
  </si>
  <si>
    <t xml:space="preserve"> ROMERO, JUAN CARLOS - DI TULLIO, JULIANA - ESPÍNOLA, CARLOS MAURICIO - MAYANS, JOSÉ MIGUEL ÁNGEL - FERNÁNDEZ SAGASTI, ANABEL - DE ANGELI, ALFREDO LUIS -</t>
  </si>
  <si>
    <t>DE TRABAJO Y PREVISIÓN SOCIAL</t>
  </si>
  <si>
    <t>29/08/2025</t>
  </si>
  <si>
    <t>02/10/2025</t>
  </si>
  <si>
    <t xml:space="preserve">AP  02/10/2025            </t>
  </si>
  <si>
    <t xml:space="preserve"> - </t>
  </si>
  <si>
    <t>PL</t>
  </si>
  <si>
    <t>SALINO Y OTROS: PROYECTO DE LEY QUE MODIFICA SU SIMILAR 26122, RESPECTO DEL REGIMEN LEGAL DE LOS DECRETOS DE NECESIDAD Y URGENCIA, DE DELEGACION LEGISLATIVA Y DE PROMULGACION PARCIAL DE LEYES.</t>
  </si>
  <si>
    <t xml:space="preserve"> 67 21/08/2025 - 91 18/03/2026 -</t>
  </si>
  <si>
    <t xml:space="preserve"> 06/08/2025 - 16/10/2025 -</t>
  </si>
  <si>
    <t xml:space="preserve">  - 21/08/2025 - 04/11/2025 -</t>
  </si>
  <si>
    <t xml:space="preserve"> 04/03/2026 - 07/08/2025 - 16/10/2025 -</t>
  </si>
  <si>
    <t xml:space="preserve"> SALINO, FERNANDO ALDO - REJAL, JESÚS FERNANDO - ANDRADA, GUILLERMO EDUARDO - MOISES, MARÍA CAROLINA -</t>
  </si>
  <si>
    <t>DE ASUNTOS CONSTITUCIONALES</t>
  </si>
  <si>
    <t>07/08/2025</t>
  </si>
  <si>
    <t>21/08/2025</t>
  </si>
  <si>
    <t>16/10/2025</t>
  </si>
  <si>
    <t>04/11/2025</t>
  </si>
  <si>
    <t>05/03/2026</t>
  </si>
  <si>
    <t xml:space="preserve">AP  04/09/2025  MO  08/10/2025        </t>
  </si>
  <si>
    <t>PD</t>
  </si>
  <si>
    <t>GARCIA LARRABURU: PROYECTO DE DECLARACIÓN QUE DECLARA DE INTERES LA XVII EDICION DE LOS PREMIOS DOCTOR JOSÉ A. BALSEIRO</t>
  </si>
  <si>
    <t xml:space="preserve"> 67 21/08/2025 -</t>
  </si>
  <si>
    <t>14/10/2025</t>
  </si>
  <si>
    <t xml:space="preserve"> 04/08/2025 -</t>
  </si>
  <si>
    <t xml:space="preserve"> 14/08/2025 -</t>
  </si>
  <si>
    <t xml:space="preserve"> 07/08/2025 -</t>
  </si>
  <si>
    <t xml:space="preserve"> GARCÍA LARRABURU, SILVINA MARCELA -</t>
  </si>
  <si>
    <t>DE CIENCIA Y TECNOLOGÍA</t>
  </si>
  <si>
    <t>14/08/2025</t>
  </si>
  <si>
    <t xml:space="preserve">AP  18/09/2025            </t>
  </si>
  <si>
    <t xml:space="preserve">LEAVY: PROYECTO DE DECLARACION QUE EXPRESA BENEPLACITO Y RECONOCE A LA DRA. MICAELA CAMINO, POR LA OBTENCION DEL PREMIO NATIONAL GEOGRAPHIC SOCIETY/BUFFETT 2025 AL" LIDERAZGO EN CONSERVACION".                                                                                                                                                                                                   </t>
  </si>
  <si>
    <t xml:space="preserve"> 65 21/08/2025 -</t>
  </si>
  <si>
    <t xml:space="preserve"> 24/07/2025 -</t>
  </si>
  <si>
    <t xml:space="preserve"> LEAVY, SERGIO NAPOLEÓN -</t>
  </si>
  <si>
    <t xml:space="preserve">MAYANS Y OTROS: PROYECTO DE LEY QUE INCORPORA EL ART. S/N DE SU SIMILAR 11.672 -  COMPLEMENTARIA PERMANENTE DE PRESUPUESTO- SOBRE LA DISTRIBUCION AUTOMATICA DE LOS RECURSOS DEL FONDO DE APORTES DEL TESORO DE LA NACION A LAS PROVINCIAS.
</t>
  </si>
  <si>
    <t xml:space="preserve"> 59 10/07/2025 -</t>
  </si>
  <si>
    <t xml:space="preserve"> 02/07/2025 -</t>
  </si>
  <si>
    <t xml:space="preserve"> 07/07/2025 -</t>
  </si>
  <si>
    <t xml:space="preserve"> ARCE, CARLOS OMAR - SAPAG, SILVIA ESTELA  - DURÉ, MARÍA EUGENIA - CORA, STEFANIA - DI TULLIO, JULIANA - MENDOZA, SANDRA MARIELA - MAYANS, JOSÉ MIGUEL ÁNGEL - VISCHI, EDUARDO ALEJANDRO - SALINO, FERNANDO ALDO - BENSUSÁN, DANIEL PABLO - MANZUR, JUAN LUIS - FERNÁNDEZ SAGASTI, ANABEL - ESPÍNOLA, CARLOS MAURICIO - TERENZI, EDITH ELIZABETH - ANDRADA, GUILLERMO EDUARDO - MOISES, MARÍA CAROLINA - LOUSTEAU, MARTÍN - REJAL, JESÚS FERNANDO - SILVA, MÓNICA ESTHER - GONZÁLEZ, MARÍA TERESA MARGARITA - DE ANGELI, ALFREDO LUIS - VIGO, ALEJANDRA MARÍA - LEAVY, SERGIO NAPOLEÓN -</t>
  </si>
  <si>
    <t>DE PRESUPUESTO Y HACIENDA</t>
  </si>
  <si>
    <t>08/07/2025</t>
  </si>
  <si>
    <t>10/07/2025</t>
  </si>
  <si>
    <t xml:space="preserve">DE COPARTICIPACIÓN FEDERAL DE IMPUESTOS </t>
  </si>
  <si>
    <t xml:space="preserve">AP  10/07/2025  AP  20/08/2025        </t>
  </si>
  <si>
    <t>27794 - 20/08/2025</t>
  </si>
  <si>
    <t>MAYANS Y OTROS: PROYECTO DE LEY QUE DISPONE LA ELIMINACIÓN DE DIVERSOS FIDEICOMISOS Y FONDOS NACIONALES.</t>
  </si>
  <si>
    <t xml:space="preserve"> MAYANS, JOSÉ MIGUEL ÁNGEL - DI TULLIO, JULIANA - BENSUSÁN, DANIEL PABLO - MOISES, MARÍA CAROLINA - SALINO, FERNANDO ALDO - DE ANGELI, ALFREDO LUIS - VISCHI, EDUARDO ALEJANDRO - TERENZI, EDITH ELIZABETH - FERNÁNDEZ SAGASTI, ANABEL - GONZÁLEZ, MARÍA TERESA MARGARITA - MANZUR, JUAN LUIS - MENDOZA, SANDRA MARIELA - ESPÍNOLA, CARLOS MAURICIO - SILVA, MÓNICA ESTHER - LOUSTEAU, MARTÍN - REJAL, JESÚS FERNANDO - VIGO, ALEJANDRA MARÍA - ANDRADA, GUILLERMO EDUARDO - ARCE, CARLOS OMAR - SAPAG, SILVIA ESTELA  - DURÉ, MARÍA EUGENIA - CORA, STEFANIA - LEAVY, SERGIO NAPOLEÓN -</t>
  </si>
  <si>
    <t xml:space="preserve">AP  10/07/2025  RE  08/10/2025        </t>
  </si>
  <si>
    <t>KIRCHNER: PROYECTO DE DECLARACIÓN QUE RINDE HOMENAJE A MARÍA EVA DUARTE DE PERÓN AL CUMPLIRSE EL 73° ANIVERSARIO DE SU FALLECIMIENTO, EL 26 DE JULIO DE 2025.</t>
  </si>
  <si>
    <t xml:space="preserve"> 58 21/08/2025 -</t>
  </si>
  <si>
    <t xml:space="preserve"> 08/08/2025 -</t>
  </si>
  <si>
    <t xml:space="preserve"> KIRCHNER, ALICIA MARGARITA ANTONIA -</t>
  </si>
  <si>
    <t>BANCA DE LA MUJER</t>
  </si>
  <si>
    <t>08/08/2025</t>
  </si>
  <si>
    <t>ATAUCHE: PROYECTO DE DECLARACION QUE EXPRESA BENEPLÁCITO POR LA CONSAGRACION DE LOS ESTUDIANTES DEL INSTITUTO TECNOLOGICO DE BUENOS AIRES (ITBA), EN LA COMPETENCIA CANSAT 2025.</t>
  </si>
  <si>
    <t xml:space="preserve"> ATAUCHE, EZEQUIEL -</t>
  </si>
  <si>
    <t xml:space="preserve">ZIMMERMANN: PROYECTO DE DECLARACIÓN QUE ADHIERE AL "DÍA NACIONAL DEL BIOINGENIERO Y LA BIOINGENIERÍA", EL 3 DE JULIO.
</t>
  </si>
  <si>
    <t xml:space="preserve"> 57 21/08/2025 -</t>
  </si>
  <si>
    <t xml:space="preserve"> 30/06/2025 -</t>
  </si>
  <si>
    <t xml:space="preserve"> ZIMMERMANN, VICTOR -</t>
  </si>
  <si>
    <t>JUEZ: PROYECTO DE DECLARACION QUE EXPRESA BENEPLACITO POR LOS SIGNIFICATIVOS AVANCES CIENTIFICOS ALCANZADOS POR UN EQUIPO DE INVESTIGADORES DEL CONICET, LIDERADOS POR EL DR. GABRIEL RABINOVICH, EN LA LUCHA CONTRA EL CANCER.</t>
  </si>
  <si>
    <t xml:space="preserve"> 54 21/08/2025 -</t>
  </si>
  <si>
    <t xml:space="preserve"> 23/06/2025 -</t>
  </si>
  <si>
    <t xml:space="preserve"> JUEZ, LUIS ALFREDO -</t>
  </si>
  <si>
    <t>30/06/2025</t>
  </si>
  <si>
    <t xml:space="preserve">ARCE Y ROJAS DECUT: PROYECTO DE DECLARACION QUE DECLARA DE INTERES EL ACTO DE HOMENAJE Y ENTREGA DE LA DISTINCION "MARTA TEODORA SCHWARZ - EL ANGEL DE LA SELVA" A REALIZARSE EN EL SALON DE LAS DOS CONSTITUCIONES DE LA CAMARA DE REPRESENTANTES DE LA PROV. DE MISIONES, EL 27 DE JUNIO DE 2025.  
</t>
  </si>
  <si>
    <t xml:space="preserve"> 53 21/08/2025 -</t>
  </si>
  <si>
    <t xml:space="preserve"> 19/06/2025 -</t>
  </si>
  <si>
    <t xml:space="preserve"> ARCE, CARLOS OMAR - ROJAS DECUT, SONIA ELIZABETH -</t>
  </si>
  <si>
    <t>23/06/2025</t>
  </si>
  <si>
    <t xml:space="preserve">ESPINOLA: PROYECTO DE DECLARACIÓN QUE ADHIERE A LA CONMEMORACION DEL "GO SKATEBOARDING DAY", (DIA INTERNACIONAL DEL SKATE) EL 21 DE JUNIO DE CADA AÑO. </t>
  </si>
  <si>
    <t xml:space="preserve"> 18/06/2025 -</t>
  </si>
  <si>
    <t xml:space="preserve"> 28/08/2025 -</t>
  </si>
  <si>
    <t xml:space="preserve"> ESPÍNOLA, CARLOS MAURICIO -</t>
  </si>
  <si>
    <t>DE DEPORTE</t>
  </si>
  <si>
    <t>19/06/2025</t>
  </si>
  <si>
    <t>28/08/2025</t>
  </si>
  <si>
    <t>AVILA: PROYECTO DE DECLARACIÓN QUE DECLARA DE INTERES EL "XXIII CONGRESO INTERNACIONAL EN INNOVACION TECNOLOGICA INFORMATICA", EL 2 DE OCTUBRE DEL 2025 EN MODALIDAD VIRTUAL.</t>
  </si>
  <si>
    <t xml:space="preserve"> AVILA, BEATRIZ LUISA -</t>
  </si>
  <si>
    <t>FERNANDEZ SAGASTI: PROYECTO DE DECLARACION QUE EXPRESA BENEPLACITO POR LA CONSAGRACION DEL EQUIPO ARGENTINO DEL INSTITUTO TECNOLOGICO DE BUENOS AIRES (ITBA), COMO CAMPEON MUNDIAL DE LA EDICION 2025 DE LA COMPETENCIA INTERNACIONAL DE INGENIERIA AEROESPACIAL CANSAT COMPETITION.</t>
  </si>
  <si>
    <t xml:space="preserve"> 52 21/08/2025 -</t>
  </si>
  <si>
    <t xml:space="preserve"> 13/06/2025 -</t>
  </si>
  <si>
    <t xml:space="preserve"> FERNÁNDEZ SAGASTI, ANABEL -</t>
  </si>
  <si>
    <t>GARCIA LARRABURU Y PILATTI VERGARA: PROYECTO DE DECLARACIÓN QUE DECLARA DE INTERES EL PROYECTO DE INVESTIGACION "INNOVACION EN EL CULTIVO, CONSERVACION, PROCESAMIENTO Y GESTION DE RECURSOS TRUFEROS SILVESTRES" (INTACT).</t>
  </si>
  <si>
    <t xml:space="preserve"> GARCÍA LARRABURU, SILVINA MARCELA - PILATTI VERGARA, MARÍA INÉS -</t>
  </si>
  <si>
    <t>LOPEZ: PROYECTO DE DECLARACION QUE EXPRESA BENEPLACITO POR LA OBTENCION DEL PRIMER PUESTO EN EL CERTAMEN INTERNACIONAL "CANSAT COMPETITION 2025", POR PARTE DEL EQUIPO ARGENTINO REPRESENTANTE DEL INSTITUTO TECNOLOGICO DE BUENOS AIRES (ITBA).</t>
  </si>
  <si>
    <t xml:space="preserve"> 51 21/08/2025 -</t>
  </si>
  <si>
    <t xml:space="preserve"> 12/06/2025 -</t>
  </si>
  <si>
    <t xml:space="preserve"> LÓPEZ, MARÍA FLORENCIA -</t>
  </si>
  <si>
    <t>ZIMMERMANN Y OTROS: PROYECTO DE DECLARACIÓN QUE EXPRESA RECONOCIMIENTO A LOS 10 ESTUDIANTES DEL EQUIPO ARGENTINO, ALUMMOS DEL ITBA, QUE GANARON EL MUNDIAL DE INGENIERIA AEROESPACIAL EN LA NASA.</t>
  </si>
  <si>
    <t xml:space="preserve"> 11/06/2025 -</t>
  </si>
  <si>
    <t xml:space="preserve"> ZIMMERMANN, VICTOR - JURI, MARIANA - VALENZUELA, MERCEDES GABRIELA - KRONEBERGER, DANIEL RICARDO - LOUSTEAU, MARTÍN - BLANCO, PABLO DANIEL - VISCHI, EDUARDO ALEJANDRO - OLALLA, STELLA MARIS - SUÁREZ, RODOLFO ALEJANDRO -</t>
  </si>
  <si>
    <t xml:space="preserve">JUEZ: PROYECTO DE DECLARACIÓN QUE EXPRESA BENEPLACITO POR LA CONSAGRACION DE 10 ESTUDIANTES DEL INSTITUTO TECNOLOGICO DE BUENOS AIRES (ITBA), EN EL MUNDIAL DE INGENIERIA AEROESPACIAL DE LA NASA, EN VIRGINIA, ESTADOS UNIDOS, DEL 3 AL 9 DE JUNIO DE 2025.  </t>
  </si>
  <si>
    <t xml:space="preserve"> 50 21/08/2025 -</t>
  </si>
  <si>
    <t xml:space="preserve"> 10/06/2025 -</t>
  </si>
  <si>
    <t>ZIMMERMANN: PROYECTO DE DECLARACION QUE RECONOCE AL DEPORTISTA ARGENTINO AGUSTIN ALEJANDRO DESTRIBATS, POR EL CAMPEONATO PANAMERICANO DE LUCHA LIBRE EN LA CATEGORIA DE 65 KGS., EN LA CDAD. DE MONTERREY, MEXICO, EL 11 DE MAYO DE 2025.</t>
  </si>
  <si>
    <t xml:space="preserve"> 49 21/08/2025 -</t>
  </si>
  <si>
    <t xml:space="preserve"> 06/06/2025 -</t>
  </si>
  <si>
    <t xml:space="preserve"> 09/06/2025 -</t>
  </si>
  <si>
    <t>09/06/2025</t>
  </si>
  <si>
    <t>ZIMMERMANN: PROYECTO DE DECLARACION QUE EXPRESA BENEPLACITO POR EL 79º ANIVERSARIO DE LA FUNDACION DEL DON ORIONE ATLETIC CLUB, DE LA PROV. DEL CHACO, EL 2 DE JUNIO.</t>
  </si>
  <si>
    <t>ZIMMERMANN: PROYECTO DE DECLARACION QUE EXPRESA BENEPLACITO POR EL 107º ANIVERSARIO DE LA FUNDACION DEL CLUB ATLETICO RESISTENCIA CENTRAL, DE LA PROV. DEL CHACO, EL 12 DE JUNIO.</t>
  </si>
  <si>
    <t>ZIMMERMANN: PROYECTO DE DECLARACION QUE EXPRESA PESAR POR EL FALLECIMIENTO DEL EX FUTBOLISTA ARGENTINO LUIS ADOLFO GALVAN, OCURRIDO EL 7 DE MAYO DE 2025.</t>
  </si>
  <si>
    <t xml:space="preserve">ZIMMERMANN: PROYECTO DE DECLARACION QUE EXPRESA PESAR POR EL FALLECIMIENTO DEL MOTOCICLISTA ARGENTINO JULIAN RUGGIRELLO, OCURRIDO EL 25 DE MAYO DE 2025. </t>
  </si>
  <si>
    <t>GIMENEZ NAVARRO: PROYECTO DE DECLARACIÓN QUE EXPRESA BENEPLACITO POR EL PREMIO INTERNACIONAL L´ OREAL - UNESCO "POR LAS MUJERES EN LA CIENCIA" 2025, OTORGADO A LA FISICA MARIA TERESA DOVA.</t>
  </si>
  <si>
    <t xml:space="preserve"> 47 21/08/2025 -</t>
  </si>
  <si>
    <t xml:space="preserve"> 05/06/2025 -</t>
  </si>
  <si>
    <t xml:space="preserve"> GIMÉNEZ NAVARRO, MARÍA CELESTE -</t>
  </si>
  <si>
    <t xml:space="preserve">OLALLA: PROYECTO DE DECLARACION QUE EXPRESA BENEPLACITO POR EL PREMIO INTERNACIONAL L´OREAL - UNESCO "POR LAS MUJERES EN LA CIENCIA" 2025, OTORGADO A LA PROF. MARIA TERESA DOVA.
</t>
  </si>
  <si>
    <t xml:space="preserve"> 45 21/08/2025 -</t>
  </si>
  <si>
    <t xml:space="preserve"> 02/06/2025 -</t>
  </si>
  <si>
    <t xml:space="preserve"> OLALLA, STELLA MARIS -</t>
  </si>
  <si>
    <t>CRISTINA: PROYECTO DE DECLARACIÓN QUE DECLARA DE INTERES LA PARTICIPACION DE LA DRA. ANALÍA CASTRO ESNAL Y LA LIC. LUCIA A. GUTIERREZ, CIENTIFICAS DEL CONICET, EN EL CONGRESO "WAC-10 WORLD ARCHAEOLOGICAL CONGRESS" A REALIZARSE EN LA CDAD. DE DARWIN, AUSTRALIA DEL 22 AL 28 DE JUNIO DE 2025.</t>
  </si>
  <si>
    <t xml:space="preserve"> 44 21/08/2025 -</t>
  </si>
  <si>
    <t xml:space="preserve"> 29/05/2025 -</t>
  </si>
  <si>
    <t xml:space="preserve"> CRISTINA, ANDREA MARCELA -</t>
  </si>
  <si>
    <t>02/06/2025</t>
  </si>
  <si>
    <t>FERNANDEZ SAGASTI: PROYECTO DE DECLARACION QUE EXPRESA BENEPLACITO POR EL CAMPEONATO OBTENIDO POR EL SELECCIONADO MASCULINO ARGENTINO DE FUTBOL PARA PERSONAS CIEGAS, "LOS MURCIELAGOS", EN EL IBSA MEN´ S BLIND FOOTBALL- ELITE CUP 2025, DISPUTADO EN LA CDAD. DE OSAKA, JAPON.</t>
  </si>
  <si>
    <t>FERNANDEZ SAGASTI: PROYECTO DE DECLARACIÓN QUE EXPRESA BENEPLACITO POR EL SUBCAMPEONATO OBTENIDO POR EL SELECCIONADO FEMENINO ARGENTINO DE FUTBOL PARA PERSONAS CIEGAS "LAS MURCIELAGAS", EN EL IBSA WOMEN'S BLIND FOOTBALL WORLD GRAND PRIX 2025, REALIZADO EN LA CDAD. DE OSAKA, JAPON.</t>
  </si>
  <si>
    <t xml:space="preserve">LEAVY: PROYECTO DE DECLARACIÓN QUE ADHIERE AL 215° ANIVERSARIO DE LA CREACION DEL EJERCITO ARGENTINO, EL 29 DE MAYO DE 2025. </t>
  </si>
  <si>
    <t>13/10/2025</t>
  </si>
  <si>
    <t xml:space="preserve"> 25/06/2025 -</t>
  </si>
  <si>
    <t>DE DEFENSA NACIONAL</t>
  </si>
  <si>
    <t>25/06/2025</t>
  </si>
  <si>
    <t>REJAL Y ANDRADA: PROYECTO DE DECLARACIÓN QUE EXPRESA BENEPLACITO POR EL OTORGAMIENTO DEL PREMIO INTERNACIONAL L´ OREAL - UNESCO "POR LAS MUJERES EN LA CIENCIA" 2025, A LA PROF. MARIA TERESA DOVA, EL 12 DE JUNIO DE 2025.</t>
  </si>
  <si>
    <t xml:space="preserve"> REJAL, JESÚS FERNANDO - ANDRADA, GUILLERMO EDUARDO -</t>
  </si>
  <si>
    <t>ABDALA: PROYECTO DE DECLARACIÓN QUE RINDE HOMENAJE AL CUMPLIRSE 100° AÑOS DEL NATALICIO DE JOSE MARÍA "EL MONO" GATICA, EN LA CDAD. DE VILLA MERCEDES, PROV. DE SAN LUIS, EL 25 DE MAYO DE 2025.</t>
  </si>
  <si>
    <t xml:space="preserve"> 28/05/2025 -</t>
  </si>
  <si>
    <t xml:space="preserve"> ABDALA, BARTOLOMÉ ESTEBAN -</t>
  </si>
  <si>
    <t>ZIMMERMANN: PROYECTO DE DECLARACIÓN QUE ADHIERE AL 215° ANIVERSARIO DE LA CREACION DEL EJERCITO ARGENTINO, EL 29 DE MAYO DE 2025.</t>
  </si>
  <si>
    <t xml:space="preserve"> 43 21/08/2025 -</t>
  </si>
  <si>
    <t xml:space="preserve"> 27/05/2025 -</t>
  </si>
  <si>
    <t>ZIMMERMANN: PROYECTO DE DECLARACIÓN QUE ADHIERE AL "DIA NACIONAL DE LA ENERGIA ATÓMICA", EL 31 DE MAYO.</t>
  </si>
  <si>
    <t>ARCE Y ROJAS DECUT: PROYECTO DE DECLARACIÓN QUE DECLARA DE INTERES EL XXXIX CONGRESO DE LA FEDERACION ARGENTINA DE SOCIEDADES DE GINECOLOGÍA Y OBSTETRICIA, A REALIZARSE EN LA CIUDAD DE POSADAS, PROV. DE MISIONES, DEL 27 AL 29 DE AGOSTO DE 2025.</t>
  </si>
  <si>
    <t xml:space="preserve"> 42 21/08/2025 -</t>
  </si>
  <si>
    <t xml:space="preserve"> 26/05/2025 -</t>
  </si>
  <si>
    <t xml:space="preserve"> 13/08/2025 -</t>
  </si>
  <si>
    <t>DE SALUD</t>
  </si>
  <si>
    <t>13/08/2025</t>
  </si>
  <si>
    <t>FAMA: PROYECTO DE DECLARACION QUE DECLARA DE INTERES LAS 6° JORNADAS DE DIVULGACION SOBRE LINEAS DE INVESTIGACION EN EDUCACION EN DISCIPLINAS TECNOLOGICAS EN LA UNIVERSIDAD NACIONAL DE CATAMARCA (UNCA), EL 5 Y 6 DE JUNIO DE 2025.</t>
  </si>
  <si>
    <t xml:space="preserve"> 41 21/08/2025 -</t>
  </si>
  <si>
    <t xml:space="preserve"> 22/05/2025 -</t>
  </si>
  <si>
    <t xml:space="preserve"> FAMA, FLAVIO SERGIO -</t>
  </si>
  <si>
    <t>DURE Y OTROS: PROYECTO DE DECLARACION QUE DECLARA DE INTERES EL LIBRO "ASI SE CONSTRUYO MALVINAS: DIARIO DE EMILIO VERNET (PUERTO DE LA SOLEDAD, 1828 - 1831)", DE LA LIC. SILVINA GUTIERREZ.</t>
  </si>
  <si>
    <t xml:space="preserve"> FERNÁNDEZ SAGASTI, ANABEL - DURÉ, MARÍA EUGENIA - LINARES, CARLOS ALBERTO - LÓPEZ, CÁNDIDA CRISTINA - SAPAG, SILVIA ESTELA  - GARCÍA LARRABURU, SILVINA MARCELA - CORA, STEFANIA -</t>
  </si>
  <si>
    <t>DE EDUCACIÓN Y CULTURA</t>
  </si>
  <si>
    <t>GARCIA LARRABURU: PROYECTO DE DECLARACION QUE DECLARA DE INTERES LA TRAYECTORIA Y LOS APORTES A LA CIENCIA REALIZADOS POR EL CENTRO DE INVESTIGACION Y ASISTENCIA TECNICA (CIATI).</t>
  </si>
  <si>
    <t xml:space="preserve"> 40 21/08/2025 -</t>
  </si>
  <si>
    <t xml:space="preserve"> 21/05/2025 -</t>
  </si>
  <si>
    <t>22/05/2025</t>
  </si>
  <si>
    <t>DURE: PROYECTO DE DECLARACIÓN QUE DECLARA DE INTERÉS EL LIBRO "EL GAUCHO RIVERO - PADRE DE LA CAUSA MALVINAS", DEL ESCRITOR JORGE GILES, EDICIÓN 2025.</t>
  </si>
  <si>
    <t xml:space="preserve"> 19/05/2025 -</t>
  </si>
  <si>
    <t xml:space="preserve"> DURÉ, MARÍA EUGENIA -</t>
  </si>
  <si>
    <t xml:space="preserve">DE PEDRO Y OTROS: PROYECTO DE DECLARACIÓN QUE DECLARA DE INTERES LA SERIE "EL ETERNAUTA", POR SU APORTE A LA CULTURA NACIONAL. </t>
  </si>
  <si>
    <t xml:space="preserve"> 39 21/08/2025 -</t>
  </si>
  <si>
    <t xml:space="preserve"> 08/07/2025 -</t>
  </si>
  <si>
    <t xml:space="preserve"> DE PEDRO, EDUARDO ENRIQUE - VALENZUELA, MERCEDES GABRIELA - ROJAS DECUT, SONIA ELIZABETH - GIMÉNEZ NAVARRO, MARÍA CELESTE - OLALLA, STELLA MARIS - LÓPEZ, CÁNDIDA CRISTINA - SILVA, MÓNICA ESTHER - GONZÁLEZ, MARÍA TERESA MARGARITA - PILATTI VERGARA, MARÍA INÉS - FERNÁNDEZ SAGASTI, ANABEL -</t>
  </si>
  <si>
    <t xml:space="preserve">DURÉ: PROYECTO DE DECLARACIÓN QUE EXPRESA BENEPLACITO POR EL 53° ANIVERSARIO DE LA SANCION Y PROMULGACION DE LA LEY 19.640 DE PROMOCION INDUSTRIAL DE TIERRA DEL FUEGO, A.I.A.S., 16 DE MAYO DE 2025.
</t>
  </si>
  <si>
    <t xml:space="preserve"> 16/05/2025 -</t>
  </si>
  <si>
    <t xml:space="preserve"> 26/08/2025 -</t>
  </si>
  <si>
    <t>DE INDUSTRIA Y COMERCIO</t>
  </si>
  <si>
    <t>26/08/2025</t>
  </si>
  <si>
    <t>ZIMMERMANN: PROYECTO DE DECLARACION QUE EXPRESA BENEPLACITO POR EL "88° ANIVERSARIO DEL CLUB JUVENTUD DE VILLA CENTENARIO", EN LA CDAD. DE RESISTENCIA, PROV. DEL CHACO, EL 18 DE MAYO DE 2025.</t>
  </si>
  <si>
    <t>ZIMMERMANN: PROYECTO DE DECLARACION QUE EXPRESA BENEPLÁCITO POR EL 211º ANIVERSARIO DE LA CREACION DE LA ARMADA ARGENTINA, A CONMEMORARSE EL 17 DE MAYO.</t>
  </si>
  <si>
    <t>DURÉ: PROYECTO DE DECLARACIÓN QUE EXPRESA BENEPLACITO POR EL  30° ANIVERSARIO DE LA DECLARACION Y PLATAFORMA DE ACCION DE BEIJING EN AMERICA LATINA Y EL CARIBE (BEIJING +30).</t>
  </si>
  <si>
    <t xml:space="preserve"> 36 21/08/2025 -</t>
  </si>
  <si>
    <t xml:space="preserve"> 12/05/2025 -</t>
  </si>
  <si>
    <t>DURÉ: PROYECTO DE DECLARACIÓN QUE RINDE HOMENAJE AL CUMPLIRSE EL 106° ANIVERSARIO DEL NATALICIO DE MARÍA EVA DUARTE DE PERÓN, EL 7 DE MAYO DE 2025.</t>
  </si>
  <si>
    <t>LOPEZ: PROYECTO DE DECLARACIÓN QUE ADHIERE AL 63° ANIVERSARIO DEL CENTRO PROVINCIAL DE EDUCACION FISICA (CPEF) N° 5, DE LA PROV. DE LA RIOJA, EL 19 DE MAYO DE 2025.</t>
  </si>
  <si>
    <t>ABAD: PROYECTO DE DECLARACION QUE EXPRESA BENEPLACITO POR LA CONMEMORACION DEL CENTENARIO DEL CLUB NAUTICO DE MAR DEL PLATA, CELEBRADO EL 25 DE MARZO DE 2025.</t>
  </si>
  <si>
    <t xml:space="preserve"> 35 21/08/2025 -</t>
  </si>
  <si>
    <t xml:space="preserve"> 08/05/2025 -</t>
  </si>
  <si>
    <t xml:space="preserve"> ABAD, MAXIMILIANO -</t>
  </si>
  <si>
    <t>ZIMMERMANN: PROYECTO DE DECLARACIÓN QUE ADHIERE AL DIA DE LAS MUJERES EN LAS MATEMÁTICAS, EL 12 DE MAYO DE 2025.</t>
  </si>
  <si>
    <t xml:space="preserve"> 09/05/2025 -</t>
  </si>
  <si>
    <t>09/05/2025</t>
  </si>
  <si>
    <t>ABDALA: PROYECTO DE DECLARACIÓN QUE RINDE HOMENAJE A LA AGRUPACION MUSICAL "LAS 100 GUITARRAS MERCEDINAS", DE LA PROV. DE SAN LUIS, AL CONMEMORARSE EL 25° ANIVERSARIO DE SU CONFORMACION.</t>
  </si>
  <si>
    <t xml:space="preserve"> 11/07/2025 -</t>
  </si>
  <si>
    <t>11/07/2025</t>
  </si>
  <si>
    <t xml:space="preserve">OLIVERA LUCERO: PROYECTO DE DECLARACION QUE ADHIERE AL 211° ANIVERSARIO DE LA CREACION DE LA ARMADA ARGENTINA, EL 17 DE MAYO DE 2025.
</t>
  </si>
  <si>
    <t xml:space="preserve"> OLIVERA LUCERO, BRUNO ANTONIO -</t>
  </si>
  <si>
    <t>VIGO: REPRODUCE PROYECTO DE LEY QUE DECLARA COMO PARTE INTEGRANTE DEL PATRIMONIO INMATERIAL DE LA REP. ARGENTINA, EN LOS TERMINOS DE LA LEY 26.118, EL RITUAL, CELEBRACIÓN Y PEREGRINACIÓN EL DENOMINADO, "CAMINO DE BROCHERO". (REF. 417/23).</t>
  </si>
  <si>
    <t xml:space="preserve"> 34 21/08/2025 -</t>
  </si>
  <si>
    <t xml:space="preserve"> 07/05/2025 -</t>
  </si>
  <si>
    <t xml:space="preserve"> VIGO, ALEJANDRA MARÍA -</t>
  </si>
  <si>
    <t>02/07/2025</t>
  </si>
  <si>
    <t xml:space="preserve">ARRASCAETA: PROYECTO DE DECLARACION QUE DECLARA DE INTERES LAS FESTIVIDADES RELIGIOSAS A CELEBRARSE EN LAS VILLAS DE LA QUEBRADA Y DE LA RENCA, EN LA PROVINCIA DE SAN LUIS, A FINES DEL MES DE ABRIL Y PRINCIPIOS DEL MES DE MAYO DE CADA AÑO.
</t>
  </si>
  <si>
    <t xml:space="preserve"> 15/07/2025 -</t>
  </si>
  <si>
    <t xml:space="preserve"> ARRASCAETA, IVANNA MARCELA -</t>
  </si>
  <si>
    <t>15/07/2025</t>
  </si>
  <si>
    <t xml:space="preserve">GARCIA LARRABURU: PROYECTO DE DECLARACION QUE DECLARA DE INTERES LA IV EDICION DEL FESTIVAL INTERNACIONAL ARTE X IGUAL, A REALIZARSE EN LAS CIUDADES DE BARILOCHE, VILLA LA ANGOSTURA Y EL BOLSON, DESDE EL MES DE MAYO AL MES DE OCTUBRE DE 2025.
</t>
  </si>
  <si>
    <t>OLALLA: PROYECTO DE DECLARACIÓN QUE EXPRESA BENEPLACITO POR EL 52° ANIVERSARIO DE LA FUNDACION DE LA UNIVERSIDAD NACIONAL DE ENTRE RIOS, EL 10 DE MAYO DE 2025.</t>
  </si>
  <si>
    <t xml:space="preserve"> 33 21/08/2025 -</t>
  </si>
  <si>
    <t xml:space="preserve"> 06/05/2025 -</t>
  </si>
  <si>
    <t>OLALLA: PROYECTO DE DECLARACIÓN QUE DECLARA DE INTERES LA OBRA DE TEATRO "LA MAQUINA DE LA FELICIDAD", QUE ABORDA LA PROBLEMÁTICA SOCIAL DEL ACOSO ESCOLAR, CREADA POR LA COMPAÑÍA TEATRAL "HAGAMOS QUE SUCEDA".</t>
  </si>
  <si>
    <t>CORA: PROYECTO DE DECLARACIÓN QUE DECLARA DE INTERES LAS ACCIONES DE LA ASOCIACION CIVIL ENTREAFROS, EN EL MARCO DEL "DIA DE LAS Y LOS AFROENTRERRIANOS Y LA CULTURA AFROLITORALEÑA", A REALIZARSE ENTRE EL 15 Y EL 24 DE MAYO DE 2025.</t>
  </si>
  <si>
    <t xml:space="preserve"> CORA, STEFANIA -</t>
  </si>
  <si>
    <t>ZIMMERMANN: PROYECTO DE DECLARACIÓN QUE ADHIERE A LA CONMEMORACION DEL 43° ANIVERSARIO DEL HUNDIMIENTO DEL CRUCERO ARA GENERAL BELGRANO, EL 2 DE MAYO DE 2025.</t>
  </si>
  <si>
    <t xml:space="preserve"> 05/05/2025 -</t>
  </si>
  <si>
    <t>ZIMMERMANN: PROYECTO DE DECLARACIÓN QUE EXPRESA BENEPLÁCITO POR EL DESTACADO DESEMPEÑO DEL SELECCIONADO ARGENTINO DE RUGBY SEVEN- LOS PUMAS 7 S-, CORONADO BICAMPEÓN EN LA FASE REGULAR DEL CIRCUITO MUNDIAL 2024/2025, EN SINGAPUR, EL 6 DE ABRIL.</t>
  </si>
  <si>
    <t>ZIMMERMANN: PROYECTO DE DECLARACIÓN QUE EXPRESA PESAR POR EL FALLECIMIENTO DE HUGO ORLANDO GATTI, HISTÓRICO ARQUERO DE FUTBOL ARGENTINO, EMBLEMA DE BOCA JUNIORS Y DE LA SELECCIÓN MUNDIAL, EL 20 DE ABRIL DE 2025.</t>
  </si>
  <si>
    <t xml:space="preserve">ARCE Y ROJAS DECUT: PROYECTO DE DECLARACIÓN QUE EXPRESA BENEPLÁCITO Y RECONOCE LA TRAYECTORIA DEL MISIONERO ERNESTO "FINITO" GEHRMANN, POR SU APORTE AL BASQUETBOL NACIONAL E INTERNACIONAL. 
</t>
  </si>
  <si>
    <t xml:space="preserve"> 32 21/08/2025 -</t>
  </si>
  <si>
    <t xml:space="preserve"> 30/04/2025 -</t>
  </si>
  <si>
    <t>OLALLA: PROYECTO DE DECLARACIÓN QUE EXPRESA BENEPLÁCITO POR LA PARTICIPACIÓN DE DISEÑADORES ENTRERRIANOS EN LA PRESTIGIOSA EXPOSICIÓN LA COTIERE, EN LA CDAD. DE NUEVA YORK, ESTADOS UNIDOS.</t>
  </si>
  <si>
    <t xml:space="preserve"> 30 21/08/2025 -</t>
  </si>
  <si>
    <t xml:space="preserve"> 25/04/2025 -</t>
  </si>
  <si>
    <t>BLANCO: PROYECTO DE DECLARACIÓN QUE RINDE HOMENAJE POR EL 43° ANIVERSARIO DEL HUNDIMIENTO DEL CRUCERO ARA GENERAL BELGRANO, EL 2 DE MAYO DE 2025.</t>
  </si>
  <si>
    <t xml:space="preserve"> 29 21/08/2025 -</t>
  </si>
  <si>
    <t xml:space="preserve"> BLANCO, PABLO DANIEL -</t>
  </si>
  <si>
    <t>CRISTINA: PROYECTO DE DECLARACIÓN QUE DECLARA DE INTERÉS EL 123° ANIVERSARIO DEL PLEBISCITO QUE DIRIMIA EL LAUDO LIMITROFE CON LA REP. DE CHILE, EN LA LOC. DE TREVELIN, PROV. DEL CHUBUT, EL 30 DE ABRIL DE 2025.</t>
  </si>
  <si>
    <t xml:space="preserve"> 24/04/2025 -</t>
  </si>
  <si>
    <t>ABDALA: PROYECTO DE DECLARACIÓN QUE DECLARA DE INTERÉS LAS TRADICIONALES FESTIVIDADES RELIGIOSAS, EN HOMENAJE A NUESTRO SR. DE RENCA Y AL CRISTO DE LA QUEBRADA, A REALIZARSE EN LAS LOC. DE VILLA DE RENCA Y VILLA DE LA QUEBRADA, PROV. DE SAN LUIS, DEL 1 AL 3 DE MAYO DE 2025.</t>
  </si>
  <si>
    <t>CORA: PROYECTO DE DECLARACIÓN QUE DECLARA DE INTERES LA OBRA "ICARIA", DE LA ARTISTA ENTRERRIANA PAULA RIGHELATO, CONVOCADA PARA EL FESTIVAL INTERNACIONAL DE PAYASAS "VABIEKA FEST", A CELEBRARSE EN LA CDAD. DE PUEBLA, MEXICO, DEL 25 DE MAYO AL 1 DE JUNIO DE 2025.</t>
  </si>
  <si>
    <t>CARAMBIA Y  GADANO: PROYECTO DE DECLARACIÓN QUE DECLARA DE INTERES EL LIBRO "LAS HERAS, IDENTIDAD PROPIA" DEL HISTORIADOR SANTACRUCEÑO FABIO MARCELO RIQUELME.</t>
  </si>
  <si>
    <t xml:space="preserve"> CARAMBIA, JOSÉ MARÍA - GADANO, NATALIA ELENA -</t>
  </si>
  <si>
    <t>CARAMBIA Y GADANO: PROYECTO DE DECLARACIÓN QUE DECLARA DE INTERES LA SERIE "RETAZOS DE LA MEMORIA" COMPILADA POR CLAUDIA PRODOMOS Y FABIO MARCELO RIQUELME.</t>
  </si>
  <si>
    <t>BENSUSAN: PROYECTO DE DECLARACION QUE DECLARA DE INTERES EL PROYECTO "ISLAGRO (INNOVACION EN CADA CONEXIÓN)" ELABORADO POR ESTUDIANTES PAMPEANOS, QUE SERA PRESENTADO EN LA 11° EDICIÓN DE INFOMATRIX BRASIL, EN LA CDAD. DE FLORIANOPOLIS, BRASIL, ENTRE EL 9 Y 12 DE SEPTIEMBRE DE 2025.</t>
  </si>
  <si>
    <t xml:space="preserve"> BENSUSÁN, DANIEL PABLO -</t>
  </si>
  <si>
    <t>11/06/2025</t>
  </si>
  <si>
    <t>BLANCO: PROYECTO DE DECLARACIÓN QUE EXPRESA PESAR POR EL FALLECIMIENTO DEL MAYOR CARLOS ANTONIO TOMBA, PILOTO DE LA FUERZA AEREA ARGENTINA, OCURRIDO EL 16 DE ABRIL DE 2025.</t>
  </si>
  <si>
    <t xml:space="preserve"> 27 24/04/2025 -</t>
  </si>
  <si>
    <t xml:space="preserve"> 22/04/2025 -</t>
  </si>
  <si>
    <t>24/04/2025</t>
  </si>
  <si>
    <t>VALENZUELA Y OTROS: PROYECTO DE DECLARACIÓN QUE DECLARA DE INTERÉS EL PROYECTO "RESTOS MORTALES SOLDADO DESCONOCIDO DE LA INDEPENDENCIA", DEL MUNICIPIO DE SALADAS. PROV. DE CORRIENTES.</t>
  </si>
  <si>
    <t xml:space="preserve"> 16/04/2025 -</t>
  </si>
  <si>
    <t xml:space="preserve"> VALENZUELA, MERCEDES GABRIELA - TERENZI, EDITH ELIZABETH - ZIMMERMANN, VICTOR - JURI, MARIANA - OLALLA, STELLA MARIS - FAMA, FLAVIO SERGIO - BLANCO, PABLO DANIEL - LOSADA, CAROLINA -</t>
  </si>
  <si>
    <t>BENSUSAN: PROYECTO DE DECLARACIÓN QUE DECLARA DE INTERÉS EL PROYECTO "DOBLE PANTALLA: EFECTOS COLATERALES. ENTRE EL ENTRETENIMIENTO Y LA ADICCION", REALIZADO POR ESTUDIANTES ORIUNDOS DE LA PROV. DE LA PAMPA, A PRESENTARSE EN LAS XX JORNADAS INTERNACIONALES DE CIENCIA EN LA CALLE, A CELEBRARSE EN ALGECIRAS, ESPAÑA, DEL 7 AL 9 DE MAYO DE 2025.</t>
  </si>
  <si>
    <t xml:space="preserve"> 26 24/04/2025 -</t>
  </si>
  <si>
    <t xml:space="preserve"> 15/04/2025 -</t>
  </si>
  <si>
    <t xml:space="preserve">VALENZUELA: PROYECTO DE DECLARACIÓN QUE DECLARA DE INTERES LA INICIATIVA DE LA PEACE ROAD (RUTA DE LA PAZ) Y LA "CARRETERA INTERNACIONAL DE PAZ", POR SU PROPOSITO DE ACERCAR A PUEBLOS Y CULTURAS.
</t>
  </si>
  <si>
    <t xml:space="preserve"> 25 24/04/2025 -</t>
  </si>
  <si>
    <t xml:space="preserve"> 09/04/2025 -</t>
  </si>
  <si>
    <t xml:space="preserve"> VALENZUELA, MERCEDES GABRIELA -</t>
  </si>
  <si>
    <t xml:space="preserve">VALENZUELA Y VISCHI: PROYECTO DE DECLARACIÓN QUE DECLARA DE INTERES LA XLVIII EDICION DE LA FIESTA NACIONAL DEL SURUBI, A CELEBRARSE EN LA CIUDAD DE GOYA, PROV. DE CORRIENTES, DEL 28 DE ABRIL AL 4 DE MAYO DE 2025.
</t>
  </si>
  <si>
    <t xml:space="preserve"> VALENZUELA, MERCEDES GABRIELA - VISCHI, EDUARDO ALEJANDRO -</t>
  </si>
  <si>
    <t xml:space="preserve">CORA Y OTROS: PROYECTO DE DECLARACION QUE DECLARA DE INTERES EL "III CONGRESO INTERNACIONAL DE ANALISIS INSTITUCIONAL: ENCUENTRO INDISCIPLINAR. TRABAJO Y AMOR, CONDICIONES NECESARIAS", ORGANIZADO POR LA UNIVERSIDAD AUTONOMA DE ENTRE RIOS, EN LA CDAD DE PARANA, PROV. DE ENTRE RIOS, DEL 12 AL 14 DE JUNIO DE 2025.
</t>
  </si>
  <si>
    <t xml:space="preserve"> LINARES, CARLOS ALBERTO - DURÉ, MARÍA EUGENIA - CORA, STEFANIA - GONZÁLEZ, MARÍA TERESA MARGARITA - GARCÍA LARRABURU, SILVINA MARCELA -</t>
  </si>
  <si>
    <t>OLALLA: PROYECTO DE DECLARACIÓN QUE EXPRESA BENEPLACITO POR LA CELEBRACION DE LA "SEMANA NACIONAL DE LA CIENCIA 2025", ORGANIZADO POR EL CONSEJO INTERUNIVERSITARIO NACIONAL (CIN) ENTRE EL 7 Y 12 DE ABRIL DE 2025.</t>
  </si>
  <si>
    <t xml:space="preserve"> 24 24/04/2025 -</t>
  </si>
  <si>
    <t xml:space="preserve"> 08/04/2025 -</t>
  </si>
  <si>
    <t>OLIVERA LUCERO: PROYECTO DE DECLARACION QUE DECLARA DE INTERES LA 4ª EDICION DE IRONMAN 70.3, REALIZADA EN LA PROV. DE SAN JUAN, EL 6 DE ABRIL DE 2025.</t>
  </si>
  <si>
    <t>ZIMMERMANN: PROYECTO DE DECLARACIÓN QUE ADHIERE A LA CELEBRACIÓN DEL "DIA DE LA CIENCIA Y LA TECNOLOGÍA Y DEL INVESTIGADOR CIENTÍFICO", EL 10 DE ABRIL DE CADA AÑO.</t>
  </si>
  <si>
    <t xml:space="preserve"> 04/04/2025 -</t>
  </si>
  <si>
    <t xml:space="preserve">ZIMMERMANN: PROYECTO DE DECLARACIÓN QUE EXPRESA BENEPLÁCITO POR LA REALIZACIÓN DEL 13° CONGRESO ARGENTINO DE TECNOLOGÍA ESPACIAL CATE 2025, EN LA CDAD. DE BS. AS., DEL 9 AL 11 DE ABRIL.
</t>
  </si>
  <si>
    <t>ZIMMERMANN: PROYECTO DE DECLARACIÓN QUE ADHIERE AL 97 ANIVERSARIO DEL PRIMER VOTO FEMENINO, EN LA PROV. DE SAN JUAN, EL 8 DE ABRIL DE 2025.</t>
  </si>
  <si>
    <t xml:space="preserve"> 23 24/04/2025 -</t>
  </si>
  <si>
    <t>ZIMMERMANN: PROYECTO DE DECLARACIÓN QUE ADHIERE A LA CONMEMORACIÓN DEL DIA DE LA CARDIOLOGÍA ARGENTINA, EL 9 DE ABRIL DE 2025.</t>
  </si>
  <si>
    <t>05/06/2025</t>
  </si>
  <si>
    <t xml:space="preserve">ARRASCAETA: PROYECTO DE DECLARACION QUE RINDE HOMENAJE Y RECONOCE A LOS 25 AÑOS DE TRAYECTORIA DE LA AGRUPACION MUSICAL "LAS 100 GUITARRAS MERCEDINAS", DE LA PROV. DE SAN LUIS. </t>
  </si>
  <si>
    <t>04/04/2025</t>
  </si>
  <si>
    <t xml:space="preserve">GARCIA LARRABURU: PROYECTO DE DECLARACIÓN QUE DECLARA DE INTERÉS LOS CUARENTA AÑOS DE TRAYECTORIA DE LA ESCUELA MUNICIPAL DE ARTE LA LLAVE, DE LA CDAD. DE SAN CARLOS DE BARILOCHE, PROV. DE RIO NEGRO. 
</t>
  </si>
  <si>
    <t xml:space="preserve"> 22 24/04/2025 -</t>
  </si>
  <si>
    <t xml:space="preserve"> 01/04/2025 -</t>
  </si>
  <si>
    <t>07/04/2025</t>
  </si>
  <si>
    <t>GARCIA LARRABURU: PROYECTO DE DECLARACIÓN QUE DECLARA DE INTERÉS LAS ACTIVIDADES CIENTÍFICO-ACADÉMICAS DEL INSTITUTO BALSEIRO, EN EL MARCO DEL SEPTUAGÉSIMO ANIVERSARIO DE SU CREACIÓN.</t>
  </si>
  <si>
    <t>GARCIA LARRABURU: PROYECTO DE DECLARACIÓN QUE DECLARA DE INTERÉS EL LIBRO MEDIO/AMBIENTE DE LA ESCRITORA MAGELA DEMARCO.</t>
  </si>
  <si>
    <t>GARCIA LARRABURU: PROYECTO DE DECLARACIÓN QUE DECLARA DE INTERÉS LOS TREINTA AÑOS DE TRAYECTORIA DEL CENTRO DE REHABILITACIÓN INTEGRAL PATAGÓNICO (C.R.I.P.), UBICADO EN LA CDAD. DE SAN CARLOS DE BARILOCHE, PROV. DE RIO NEGRO.</t>
  </si>
  <si>
    <t>TAGLIAFERRI: PROYECTO DE DECLARACIÓN QUE EXPRESA BENEPLÁCITO POR EL POSICIONAMIENTO DE LA UNIVERSIDAD DE BS. AS., RESPECTO DEL INGRESO DE 5 NUEVAS CARRERAS DENTRO DE LAS MEJORES 100 DEL MUNDO, DEL PRESTIGIOSO RANKING GLOBAL QS WORLD UNIVERSITY RANKINGS BY SUBJECT, EDICIÓN 2025</t>
  </si>
  <si>
    <t xml:space="preserve"> 21 24/04/2025 -</t>
  </si>
  <si>
    <t xml:space="preserve"> TAGLIAFERRI, GUADALUPE -</t>
  </si>
  <si>
    <t>ROJAS DECUT Y ARCE: PROYECTO DE DECLARACION QUE DECLARA DE INTERES EL X CONGRESO ARGENTINO DE PARASITOLOGIA, A DESARROLLARSE EN LA CDAD. DE PUERTO IGUAZU, PROV. DE MISIONES, DEL 7 AL 9 DE MAYO DE 2025.</t>
  </si>
  <si>
    <t xml:space="preserve"> ROJAS DECUT, SONIA ELIZABETH - ARCE, CARLOS OMAR -</t>
  </si>
  <si>
    <t>LEDESMA ABDALA: PROYECTO DE DECLARACIÓN QUE DECLARA DE INTERES EL 75° ANIVERSARIO DE LA CREACION DE LA ESCUELA DE AGRICULTURA, GANADERIA Y GRANJA, PERTENECIENTE A LA UNIVERSIDAD DE SANTIAGO DEL ESTERO, EL 21 DE MAYO DE 2025.</t>
  </si>
  <si>
    <t xml:space="preserve"> 19 24/04/2025 -</t>
  </si>
  <si>
    <t xml:space="preserve"> 28/03/2025 -</t>
  </si>
  <si>
    <t xml:space="preserve"> LEDESMA ABDALA DE ZAMORA, CLAUDIA -</t>
  </si>
  <si>
    <t>BENSUSAN: PROYECTO DE DECLARACION QUE DECLARA DE INTERES LA REALIZACION DEL EVENTO CICLISTICO "GRAN FONDO ITALIANISSIMA", EN LA PROV. DE LA PAMPA, EL 8 Y 9 DE MARZO DE 2025.</t>
  </si>
  <si>
    <t xml:space="preserve"> 18 24/04/2025 -</t>
  </si>
  <si>
    <t xml:space="preserve"> 27/03/2025 -</t>
  </si>
  <si>
    <t>BENSUSAN: PROYECTO DE DECLARACION QUE DECLARA DE INTERES EL IV CONGRESO CORAL ARGENTINO Y II LATINOAMERICANO, A REALIZARSE EN VILLA GESELL, PROV. DE BS. AS., DEL 21 AL 24 DE NOVIEMBRE DE 2025.</t>
  </si>
  <si>
    <t>OLIVERA LUCERO: PROYECTO DE DECLARACIÓN QUE DECLARA DE INTERÉS LA 5° EDICIÓN DEL "TRIATLÓN DEL SOL", REALIZADO EN LA PROVINCIA DE SAN JUAN, EL 9 DE MARZO.</t>
  </si>
  <si>
    <t xml:space="preserve"> 17 24/04/2025 -</t>
  </si>
  <si>
    <t xml:space="preserve"> 25/03/2025 -</t>
  </si>
  <si>
    <t>ZIMMERMANN: PROYECTO DE DECLARACIÓN QUE EXPRESA BENEPLACITO POR LA CONMEMORACION DEL "98° ANIVERSARIO DEL CLUB ATLÉTICO HURACÁN DE LAS BREÑAS", PROV. DEL CHACO, A CELEBRARSE EL 28 DE MARZO DE 2025.</t>
  </si>
  <si>
    <t xml:space="preserve"> 21/03/2025 -</t>
  </si>
  <si>
    <t xml:space="preserve">LEAVY Y OTROS: PROYECTO DE LEY QUE DECLARA ZONA DE EMERGENCIA Y EN SITUACIÓN DE CATÁSTROFE, DURANTE EL TERMINO DE CIENTO OCHENTA (180) DÍAS EN EL DEPARTAMENTO RIVADAVIA, EN LA PROV. DE SALTA. </t>
  </si>
  <si>
    <t xml:space="preserve"> 16 24/04/2025 -</t>
  </si>
  <si>
    <t xml:space="preserve"> 20/03/2025 -</t>
  </si>
  <si>
    <t>2025-04-03 00:00:00</t>
  </si>
  <si>
    <t xml:space="preserve"> GONZÁLEZ, MARÍA TERESA MARGARITA - LEAVY, SERGIO NAPOLEÓN - GIMÉNEZ, NORA DEL VALLE - CORA, STEFANIA - PILATTI VERGARA, MARÍA INÉS - KIRCHNER, ALICIA MARGARITA ANTONIA - LINARES, CARLOS ALBERTO - RODAS, ANTONIO JOSÉ - SALINO, FERNANDO ALDO - PARRILLI, OSCAR ISIDRO - GARCÍA LARRABURU, SILVINA MARCELA -</t>
  </si>
  <si>
    <t>07/05/2025</t>
  </si>
  <si>
    <t xml:space="preserve">AP  07/05/2025            </t>
  </si>
  <si>
    <t>OV</t>
  </si>
  <si>
    <t>CV</t>
  </si>
  <si>
    <t xml:space="preserve">JUNTA ELECTORAL NACIONAL - DISTRITO CABA: REMITE COPIA DEL ACTA Nº 34/25, SOBRE EL RESULTADO DEL ESCRUTINIO DEFINITIVO DE LAS ELECCIONES GENERALES CELEBRADAS EL 26 DE OCTUBRE DE 2025, PARA LA CATEGORIA DE SENADORES Y DIPUTADOS NACIONALES.
</t>
  </si>
  <si>
    <t xml:space="preserve">  28/11/2025 -</t>
  </si>
  <si>
    <t>12/06/2026</t>
  </si>
  <si>
    <t xml:space="preserve"> 14/11/2025 -</t>
  </si>
  <si>
    <t xml:space="preserve"> 19/11/2025 - 26/11/2025 -</t>
  </si>
  <si>
    <t xml:space="preserve"> 14/11/2025 -  -</t>
  </si>
  <si>
    <t>14/11/2025</t>
  </si>
  <si>
    <t>19/11/2025</t>
  </si>
  <si>
    <t xml:space="preserve">AP  28/11/2025            </t>
  </si>
  <si>
    <t xml:space="preserve">JUNTA ELECTORAL NACIONAL - DISTRITO SALTA: REMITE COPIA DEL ACTA Nº 15, CON EL RESULTADO DEL ESCRUTINIO DEFINITIVO EN LAS ELECCIONES GENERALES DEL 26/10/25 PARA LA CATEGORIA DE SENADORES Y DIPUTADOS NACIONALES.
</t>
  </si>
  <si>
    <t xml:space="preserve"> 13/11/2025 -</t>
  </si>
  <si>
    <t xml:space="preserve"> 13/11/2025 -  -</t>
  </si>
  <si>
    <t>13/11/2025</t>
  </si>
  <si>
    <t>JUNTA ELECTORAL NACIONAL - DISTRITO ENTRE RIOS: REMITE COPIA DEL ACTA Nº 229, CON EL RESULTADO DEL ESCRUTINIO DEFINITIVO EN LAS ELECCIONES GENERALES DEL 26/10/25 PARA LA CATEGORIA DE SENADORES Y DIPUTADOS NACIONALES Y RESOLUCION DE OFICIALIZACION DE LAS LISTAS DE CANDIDATOS.</t>
  </si>
  <si>
    <t>JUNTA ELECTORAL NACIONAL - DISTRITO SANTIAGO DEL ESTERO: REMITE COPIA DEL ACTA Nº 14/25, SOBRE EL RESULTADO DEL ESCRUTINIO DEFINITIVO DE LAS ELECCIONES GENERALES, CELEBRADAS EL 26 DE OCTUBRE DE 2025, PARA LA CATEGORIA DE SENADORES Y DIPUTADOS NACIONALES Y RESOLUCION DE OFICIALIZACION DE LAS LISTAS DE CANDIDATOS.</t>
  </si>
  <si>
    <t>PC</t>
  </si>
  <si>
    <t>LEWANDOWSKI: PROYECTO DE COMUNICACIÓN QUE SOLICITA INFORME SOBRE DIVERSOS PUNTOS RELACIONADOS CON EL INCREMENTO A LA IMPORTACION DE ALIMENTOS Y BEBIDAS DURANTE EL ULTIMO AÑO.</t>
  </si>
  <si>
    <t xml:space="preserve"> 15 24/04/2025 -</t>
  </si>
  <si>
    <t xml:space="preserve"> LEWANDOWSKI, MARCELO NÉSTOR -</t>
  </si>
  <si>
    <t>21/03/2025</t>
  </si>
  <si>
    <t>JUNTA ELECTORAL NACIONAL - DISTRITO NEUQUEN: REMITE COPIA DEL ACTA Nº6/25, SOBRE EL RESULTADO DE LAS ELECCIONES NACIONALES CELEBRADAS EL 26 DE OCTUBRE DE 2025, PARA LA CATEGORIA DE SENADORES Y DIPUTADOS NACIONALES.</t>
  </si>
  <si>
    <t xml:space="preserve"> 05/11/2025 -</t>
  </si>
  <si>
    <t xml:space="preserve"> 26/11/2025 - 19/11/2025 -</t>
  </si>
  <si>
    <t xml:space="preserve">  - 07/11/2025 -</t>
  </si>
  <si>
    <t>07/11/2025</t>
  </si>
  <si>
    <t xml:space="preserve">JUNTA ELECTORAL NACIONAL - DISTRITO TIERRA DEL FUEGO, ANTARTIDA E ISLAS DEL ATLANTICO SUR: REMITE COPIA DEL ACTA Nº 8/25, SOBRE EL RESULTADO DE LAS ELECCIONES NACIONALES CELEBRADAS EL 26 DE OCTUBRE DE 2025, PARA LA CATEGORIA DE SENADORES Y DIPUTADOS NACIONALES.
</t>
  </si>
  <si>
    <t xml:space="preserve"> 04/11/2025 -</t>
  </si>
  <si>
    <t xml:space="preserve">JUNTA ELECTORAL NACIONAL - DISTRITO CHACO: REMITE COPIA DEL ACTA Nº 11/25, SOBRE EL RESULTADO DE LAS ELECCIONES NACIONALES CELEBRADAS EL 26 DE OCTUBRE DE 2025, PARA LA CATEGORIA DE SENADORES Y DIPUTADOS NACIONALES.
</t>
  </si>
  <si>
    <t>ATAUCHE: PROYECTO DE DECLARACIÓN QUE DECLARA DE INTERES LA POSTULACION PARA INTEGRAR EL PROGRAMA DE LA UNESCO "LISTA REPRESENTATIVA DEL PATRIMONIO INMATERIAL DE LA HUMANIDAD" DE MANKA FIESTA.</t>
  </si>
  <si>
    <t xml:space="preserve"> 18/03/2025 -</t>
  </si>
  <si>
    <t>AVILA: PROYECTO DE DECLARACIÓN QUE EXPRESA BENEPLACITO Y RECONOCE LA CONMEMORACION DEL 150° ANIVERSARIO DE LA ESCUELA NORMAL SUPERIOR EN LENGUAS VIVAS "JUAN BAUTISTA ALBERDI" DE SAN MIGUEL DE TUCUMAN, PROV. DE TUCUMAN, EL 25 DE MAYO DE 2025.</t>
  </si>
  <si>
    <t>DURE: PROYECTO DE DECLARACION QUE EXPRESA BENEPLACITO POR LA CELEBRACION DEL DIA DE LA MUJER DE LAS AMERICAS, EL 18 DE FEBRERO DE CADA AÑO.</t>
  </si>
  <si>
    <t xml:space="preserve"> 14 24/04/2025 -</t>
  </si>
  <si>
    <t xml:space="preserve"> 19/08/2025 -</t>
  </si>
  <si>
    <t>19/08/2025</t>
  </si>
  <si>
    <t>GIMENEZ NAVARRO: PROYECTO DE DECLARACIÓN QUE EXPRESA BENEPLACITO POR EL POSICIONAMIENTO DE LA UNIVERSIDAD DE BUENOS AIRES (UBA) EN LA 15° EDICION DEL RANKING QUACQUARELLI SYMONDS (QS), PUBLICADO EL 12 DE MARZO DE 2025.</t>
  </si>
  <si>
    <t>ZIMMERMANN: PROYECTO DE DECLARACION QUE EXPRESA BENEPLACITO POR EL "105º ANIVERSARIO DEL CLUB DE REGATAS DE RESISTENCIA", PROV. DEL CHACO, A CELEBRARSE EL 20 DE MARZO DE 2025.</t>
  </si>
  <si>
    <t xml:space="preserve"> 17/03/2025 -</t>
  </si>
  <si>
    <t>LEWANDOWSKI: PROYECTO DE DECLARACION QUE RINDE HOMENAJE POR LA CONMEMORACION DEL CENTENARIO DEL NACIMIENTO DE FERNANDO BIRRI, EN LA CDAD. DE SANTA FE, PROV. HOMONIMA, EL 13 DE MARZO DE 2025.</t>
  </si>
  <si>
    <t xml:space="preserve"> 12 24/04/2025 -</t>
  </si>
  <si>
    <t xml:space="preserve"> 12/03/2025 -</t>
  </si>
  <si>
    <t>GIMENEZ: PROYECTO DE DECLARACIÓN QUE EXPRESA PESAR POR EL FALLECIMIENTO DE CARLOS ABÁN, Y RECONOCIMIENTO A SU LEGADO Y TRAYECTORA ARTISTICA.</t>
  </si>
  <si>
    <t xml:space="preserve"> 11/03/2025 -</t>
  </si>
  <si>
    <t xml:space="preserve"> GIMÉNEZ, NORA DEL VALLE -</t>
  </si>
  <si>
    <t>DURÉ: PROYECTO DE DECLARACIÓN QUE ADHIERE AL DIA INTERNACIONAL DE LA MUJER TRABAJADORA, CADA 8 DE MARZO.</t>
  </si>
  <si>
    <t>GIMENEZ: PROYECTO DE DECLARACIÓN QUE EXPRESA BENEPLACITO Y ADHIERE AL TEMA PROPUESTO POR LA ONU MUJERES "PARA LAS MUJERES Y NIÑAS EN TODA SU DIVERSIDAD: DERECHOS, IGUALDAD Y EMPODERAMIENTO" PARA EL DIA INTERNACIONAL DE LA MUJER 2025, A CELEBRARSE EL 8 DE MARZO.</t>
  </si>
  <si>
    <t>BLANCO: PROYECTO DE DECLARACION QUE DECLARA DE INTERES EL LIBRO "CHARLOTTE, MAS ALLA DEL HORIZONTE", DE LA AUTORA SANTACRUCEÑA PATRICIA HALVORSEN.</t>
  </si>
  <si>
    <t xml:space="preserve"> 11 24/04/2025 -</t>
  </si>
  <si>
    <t>CORPACCI: PROYECTO DE DECLARACION QUE DECLARA DE INTERES LA 54° EDICION DE LA FIESTA NACIONAL E INTERNACIONAL DEL PONCHO, A REALIZARSE EN LA CDAD. DE SAN FERNANDO DEL VALLE DE CATAMARCA, PROV. DE CATAMARCA, ENTRE EL 18 Y EL 27 DE JULIO DE 2025.</t>
  </si>
  <si>
    <t xml:space="preserve"> 10 24/04/2025 -</t>
  </si>
  <si>
    <t xml:space="preserve"> CORPACCI, LUCÍA BENIGNA -</t>
  </si>
  <si>
    <t>MENDOZA: PROYECTO DE DECLARACIÓN QUE DECLARA DE INTERES LA 64° EDICION DEL FESTIVAL SEPTIEMBRE MUSICAL, A REALIZARSE EN LA PROV. DE TUCUMAN, DEL 31 DE AGOSTO AL 29 DE SEPTIEMBRE DE 2025.</t>
  </si>
  <si>
    <t xml:space="preserve"> 10/03/2025 -</t>
  </si>
  <si>
    <t xml:space="preserve"> MENDOZA, SANDRA MARIELA -</t>
  </si>
  <si>
    <t>PE</t>
  </si>
  <si>
    <t>AC</t>
  </si>
  <si>
    <t>MENSAJE N° 4/26 QUE SOLICITA ACUERDO A FIN DE POSIBILITAR UN NUEVO NOMBRAMIENTO PARA DESIGNAR VOCAL DE LA CAMARA FEDERAL DE CASACION PENAL, VOCALIA VII, AL DR. CARLOS ALBERTO MAHIQUES.</t>
  </si>
  <si>
    <t xml:space="preserve"> 9 18/03/2026 -</t>
  </si>
  <si>
    <t xml:space="preserve"> 04/02/2026 -</t>
  </si>
  <si>
    <t xml:space="preserve"> 16/04/2026 -</t>
  </si>
  <si>
    <t>DE ACUERDOS</t>
  </si>
  <si>
    <t>04/02/2026</t>
  </si>
  <si>
    <t>16/04/2026</t>
  </si>
  <si>
    <t xml:space="preserve">AP  14/05/2026            </t>
  </si>
  <si>
    <t xml:space="preserve">ROMERO: PROYECTO DE DECLARACION QUE ADHIERE A LA CONMEMORACION DEL DIA INTERNACIONAL DE LA MUJER, EL 8 DE MARZO. 
</t>
  </si>
  <si>
    <t xml:space="preserve"> 9 24/04/2025 -</t>
  </si>
  <si>
    <t xml:space="preserve"> ROMERO, JUAN CARLOS -</t>
  </si>
  <si>
    <t xml:space="preserve">MENSAJE N° 3/26 QUE SOLICITA ACUERDO PARA NOMBRAR EMBAJADOR EXTRAORDINARIO Y PLENIPOTENCIARIO AL SEÑOR FERNANDO ADOLFO IGLESIAS.
</t>
  </si>
  <si>
    <t xml:space="preserve"> 8 11/02/2026 -</t>
  </si>
  <si>
    <t xml:space="preserve"> 02/02/2026 -</t>
  </si>
  <si>
    <t xml:space="preserve"> 19/02/2026 -</t>
  </si>
  <si>
    <t>02/02/2026</t>
  </si>
  <si>
    <t>19/02/2026</t>
  </si>
  <si>
    <t xml:space="preserve">AP  26/02/2026            </t>
  </si>
  <si>
    <t>DI TULLIO Y OTROS: PROYECTO DE LEY QUE DECLARA ZONA DE EMERGENCIA Y EN SITUACIÓN DE CATÁSTROFE, DURANTE EL TERMINO DE CIENTO OCHENTA DÍAS A LA PROV. DE BUENOS AIRES, ESPECIALMENTE A LOS MUNICIPIOS DE BAHÍA BLANCA Y CORONEL ROSALES, EN RAZÓN DE LAS INUNDACIONES REGISTRADAS EN EL MES DE MARZO DE 2025.</t>
  </si>
  <si>
    <t xml:space="preserve"> 07/03/2025 -</t>
  </si>
  <si>
    <t xml:space="preserve"> DI TULLIO, JULIANA - DE PEDRO, EDUARDO ENRIQUE - ABAD, MAXIMILIANO -</t>
  </si>
  <si>
    <t>10/03/2025</t>
  </si>
  <si>
    <t>12/03/2025</t>
  </si>
  <si>
    <t xml:space="preserve">AP  07/05/2025  AP  04/06/2025  IN  10/07/2025    </t>
  </si>
  <si>
    <t>27790 - 04/06/2025</t>
  </si>
  <si>
    <t xml:space="preserve">ZIMMERMANN: PROYECTO DE DECLARACIÓN QUE ADHIERE A LA CONMEMORACION DEL "DIA INTERNACIONAL DE LA MUJER", EL 8 DE MARZO.
</t>
  </si>
  <si>
    <t xml:space="preserve">ZIMMERMANN: PROYECTO DE DECLARACIÓN QUE EXPRESA RECONOCIMIENTO AL TENISTA ARGENTINO SEBASTIAN BAEZ, QUIEN SE CORONO BICAMPEON DEL "ATP 500 DE RIO DE JANERIO", DISPUTADO EN LA CAPITAL DE LA REPUBLICA FEDERATIVA DE BRASIL, DEL 17 AL 23 DE FEBRERO DE 2025.
</t>
  </si>
  <si>
    <t>GARCIA LARRABURU: PROYECTO DE DECLARACION QUE DECLARA DE INTERÉS LA ACTIVIDAD LLEVADA A CABO POR LA ESCUELITA "SISTEMA EDUCATIVO DE FUTBOL INFANTIL", EN LA CDAD. DE SAN CARLOS DE BARILOCHE, PROV. DE RÍO NEGRO.</t>
  </si>
  <si>
    <t>GARCIA LARRABURU: PROYECTO DE DECLARACION QUE DECLARA DE INTERÉS EL LIBRO "DE BARILOCHE AL MUNDO", DEL AUTOR GUSTAVO EZQUERRA.</t>
  </si>
  <si>
    <t xml:space="preserve">GARCIA LARRABURU: PROYECTO DE DECLARACION QUE DECLARA DE INTERES EL LIBRO TITULADO RETRATOS DE MI BARILOCHE, DEL PERIODISTA Y ESCRITOR ROBERTO O. SOSA LUKMAN.
</t>
  </si>
  <si>
    <t>MENSAJE N° 36/25 Y PROYECTO DE LEY QUE MODIFICA SU SIMILAR 26.639 "RÉGIMEN DE PRESUPUESTOS MÍNIMOS PARA LA PRESERVACIÓN DE LOS GLACIARES Y DEL AMBIENTE PERIGLACIAL"</t>
  </si>
  <si>
    <t xml:space="preserve"> 104 26/02/2026 -</t>
  </si>
  <si>
    <t>27/04/2026</t>
  </si>
  <si>
    <t xml:space="preserve"> 15/12/2025 -</t>
  </si>
  <si>
    <t xml:space="preserve"> 18/12/2025 -</t>
  </si>
  <si>
    <t xml:space="preserve"> 16/12/2025 -</t>
  </si>
  <si>
    <t>DE AMBIENTE Y DESARROLLO SUSTENTABLE</t>
  </si>
  <si>
    <t>16/12/2025</t>
  </si>
  <si>
    <t>18/12/2025</t>
  </si>
  <si>
    <t>DE MINERÍA, ENERGÍA Y COMBUSTIBLES</t>
  </si>
  <si>
    <t xml:space="preserve">AP  26/02/2026  AP  08/04/2026        </t>
  </si>
  <si>
    <t>27804 - 08/04/2026</t>
  </si>
  <si>
    <t>GARCIA LARRABURU: PROYECTO DE DECLARACIÓN QUE DECLARA DE INTERÉS LA ACTIVIDAD REALIZADA POR LA ASOCIACION CIVIL EL TROVADOR DE LA CDAD. DE SAN CARLOS DE BARILOCHE, PROV. DE RIO NEGRO.</t>
  </si>
  <si>
    <t>MENSAJE N° 35/25 Y PROYECTO DE LEY DE MODERNIZACIÓN LABORAL.</t>
  </si>
  <si>
    <t xml:space="preserve"> 110 18/03/2026 - 105 11/02/2026 -</t>
  </si>
  <si>
    <t xml:space="preserve"> 20/02/2026 - 11/12/2025 -</t>
  </si>
  <si>
    <t xml:space="preserve"> 18/12/2025 - 20/02/2026 -</t>
  </si>
  <si>
    <t xml:space="preserve"> 11/12/2025 - 20/02/2026 -</t>
  </si>
  <si>
    <t>11/12/2025</t>
  </si>
  <si>
    <t>20/02/2026</t>
  </si>
  <si>
    <t xml:space="preserve">AP  12/02/2026  MO  20/02/2026  AP  27/02/2026    </t>
  </si>
  <si>
    <t>27802 - 27/02/2026</t>
  </si>
  <si>
    <t>JEFATURA DE GABINETE: REMITE MENSAJE N° 33/25 QUE COMUNICA EL DICTADO DEL DECRETO N° 810/25, QUE SOLICITA ACUERDO PARA DESIGNAR CARGOS DE LA AUTORIDAD NACIONAL DE LA COMPETENCIA, ORGANISMO DESCENTRALIZADO ACTUANTE EN EL ÁMBITO DEL MINISTERIO DE ECONOMÍA, EN LOS TÉRMINOS DE LOS ARTÍCULOS 21 Y 23 DE LA LEY N° 27.442.</t>
  </si>
  <si>
    <t xml:space="preserve"> 7 18/03/2026 -</t>
  </si>
  <si>
    <t>17/04/2026</t>
  </si>
  <si>
    <t xml:space="preserve"> 25/11/2025 -</t>
  </si>
  <si>
    <t xml:space="preserve"> 26/03/2026 -</t>
  </si>
  <si>
    <t xml:space="preserve"> 26/11/2025 -</t>
  </si>
  <si>
    <t>26/11/2025</t>
  </si>
  <si>
    <t>26/03/2026</t>
  </si>
  <si>
    <t xml:space="preserve">AP  09/04/2026            </t>
  </si>
  <si>
    <t xml:space="preserve">GARCIA LARRABURU: PROYECTO DE DECLARACION QUE DECLARA DE INTERES EL PROYECTO DE INVESTIGACIÓN SUBACUÁTICA "ESLABÓN PERDIDO".
</t>
  </si>
  <si>
    <t xml:space="preserve"> 8 24/04/2025 -</t>
  </si>
  <si>
    <t>DURE: PROYECTO DE DECLARACION QUE EXPRESA BENEPLÁCITO POR LA REALIZACIÓN DEL 6° ENCUENTRO INTERNACIONAL DE MURALISTAS EN EL FIN DEL MUNDO - EMUSH 2025, EN LA CDAD. DE USHUAIA, PROV. DE TIERRA DEL FUEGO Y A.I.A.S.</t>
  </si>
  <si>
    <t xml:space="preserve"> 06/03/2025 -</t>
  </si>
  <si>
    <t>MENSAJE N° 32/25 QUE SOLICITA ACUERDO PARA PROMOVER AL GRADO INMEDIATO SUPERIOR, CON FECHA 26 DE NOVIEMBRE DE 2024, AL BRIGADIER MAYOR GUSTAVO JAVIER VALVERDE.</t>
  </si>
  <si>
    <t xml:space="preserve"> 6 18/03/2026 -</t>
  </si>
  <si>
    <t xml:space="preserve"> 03/10/2025 -</t>
  </si>
  <si>
    <t>03/10/2025</t>
  </si>
  <si>
    <t xml:space="preserve">MENSAJE N° 24/25 QUE SOLICITA ACUERDO A FIN DE POSIBILITAR UN NUEVO NOMBRAMIENTO PARA DESIGNAR VOCAL DE LA CAMARA FEDERAL DE APELACIONES DE POSADAS, PROV. DE MISIONES, A LA DRA. MIRTA DELIA TYDEN.
</t>
  </si>
  <si>
    <t xml:space="preserve"> 4 04/09/2025 -</t>
  </si>
  <si>
    <t xml:space="preserve"> 25/09/2025 -</t>
  </si>
  <si>
    <t xml:space="preserve"> 27/08/2025 -</t>
  </si>
  <si>
    <t>27/08/2025</t>
  </si>
  <si>
    <t>25/09/2025</t>
  </si>
  <si>
    <t xml:space="preserve">MENSAJE N° 23/25 QUE SOLICITA ACUERDO PARA PROMOVER A LA CATEGORIA "C" MINISTRO PLENIPOTENCIARIO DE SEGUNDA CLASE A LOS FUNCIONARIOS DE LA CATEGORIA "D" CONSEJERO DE EMBAJADA Y CONSUL GENERAL DEL MINISTERIO DE RELACIONES EXTERIORES, COMERCIO INTERNACIONAL Y CULTO.
</t>
  </si>
  <si>
    <t xml:space="preserve"> 3 21/08/2025 -</t>
  </si>
  <si>
    <t xml:space="preserve"> 29/04/2026 -</t>
  </si>
  <si>
    <t xml:space="preserve"> 20/08/2025 -</t>
  </si>
  <si>
    <t>20/08/2025</t>
  </si>
  <si>
    <t>29/04/2026</t>
  </si>
  <si>
    <t>03/08/2026</t>
  </si>
  <si>
    <t xml:space="preserve">AP  16/07/2026            </t>
  </si>
  <si>
    <t xml:space="preserve">MENSAJE N° 22/25 QUE SOLICITA ACUERDO PARA PROMOVER A LA CATEGORIA "C" MINISTRO PLENIPOTENCIARIO DE SEGUNDA CLASE A LOS FUNCIONARIOS DE LA CATEGORIA "D" CONSEJERO DE EMBAJADA Y CONSUL GENERAL DEL MINISTERIO DE RELACIONES EXTERIORES, COMERCIO INTERNACIONAL Y CULTO.
</t>
  </si>
  <si>
    <t xml:space="preserve">MENSAJE N° 21/25 QUE SOLICITA ACUERDO PARA PROMOVER A LA CATEGORIA "B" MINISTRO PLENIPOTENCIARIO DE PRIMERA CLASE A LOS FUNCIONARIOS DE LA CATEGORIA "C" MINISTRO PLENIPOTENCIARIO DE SEGUNDA CLASE DEL MINISTERIO DE RELACIONES EXTERIORES, COMERCIO INTERNACIONAL Y CULTO.
</t>
  </si>
  <si>
    <t xml:space="preserve">MENSAJE N° 20/25 QUE SOLICITA ACUERDO PARA PROMOVER A LA CATEGORIA "B" MINISTRO PLENIPOTENCIARIO DE PRIMERA CLASE A LOS FUNCIONARIOS DE LA CATEGORIA "C" MINISTRO PLENIPOTENCIARIO DE SEGUNDA CLASE DEL MINISTERIO DE RELACIONES EXTERIORES, COMERCIO INTERNACIONAL Y CULTO.
</t>
  </si>
  <si>
    <t xml:space="preserve">MENSAJE N° 19/25 QUE SOLICITA ACUERDO PARA PROMOVER A LA CATEGORIA "A" EMBAJADOR EXTRAORDINARIO Y PLENIPOTENCIARIO A LOS FUNCIONARIOS DE LA CATEGORIA "B" MINISTRO PLENIPOTENCIARIO DE PRIMERA CLASE DEL MINISTERIO DE RELACIONES EXTERIORES, COMERCIO INTERNACIONAL Y CULTO.
</t>
  </si>
  <si>
    <t>04/08/2026</t>
  </si>
  <si>
    <t xml:space="preserve">MENSAJE N° 18/25 QUE SOLICITA ACUERDO PARA PROMOVER A LA CATEGORIA "A" EMBAJADOR EXTRAORDINARIO Y PLENIPOTENCIARIO A LOS FUNCIONARIOS DE LA CATEGORIA "B" MINISTRO PLENIPOTENCIARIO DE PRIMERA CLASE DEL MINISTERIO DE RELACIONES EXTERIORES, COMERCIO INTERNACIONAL Y CULTO.
</t>
  </si>
  <si>
    <t>DURÉ: PROYECTO DE DECLARACIÓN QUE ADHIERE AL DIA DE LA ANTARTIDA ARGENTINA, EL 22 DE FEBRERO DE CADA AÑO.</t>
  </si>
  <si>
    <t xml:space="preserve"> 6 24/04/2025 -</t>
  </si>
  <si>
    <t xml:space="preserve"> 19/03/2025 -</t>
  </si>
  <si>
    <t>19/03/2025</t>
  </si>
  <si>
    <t xml:space="preserve">DURÉ: PROYECTO DE DECLARACION QUE EXPRESA BENEPLACITO POR EL DECIMO ANIVERSARIO DEL DIA INTERNACIONAL DE LA MUJER Y LA NIÑA EN LA CIENCIA, EL 11 DE FEBRERO DE 2025
</t>
  </si>
  <si>
    <t>LEWANDOWSKI: PROYECTO DE DECLARACIÓN QUE EXPRESA BENEPLACITO POR EL LANZAMIENTO DEL REMOLCADOR ORBITAL CHIMERA GEO-1, QUE CUENTA CON UN SISTEMA DE PROPULSION FABRICADO POR EL EQUIPO DEL CENTRO TECNOLOGICO ESPECIALIZADO EN MANUFACTURA E INDUSTRIA DIGITAL (CENTEC) DE RAFAELA, PROV. DE SANTA FE.</t>
  </si>
  <si>
    <t xml:space="preserve"> 5 24/04/2025 -</t>
  </si>
  <si>
    <t xml:space="preserve">OLALLA: PROYECTO DE DECLARACION QUE EXPRESA BENEPLACITO POR LA DISTICIÓN DE LA DOCENTE ARGENTINA KARINA SARRO, COMO FINALISTA DEL "GLOBAL TEACHER PRIZE". </t>
  </si>
  <si>
    <t>GALARETTO: PROYECTO DE DECLARACIÓN QUE DECLARA DE INTERES EL REGISTRO ARGENTINO DE DIALISIS CRONICA REALIZADO POR LA SOCIEDAD ARGENTINA DE NEFROLOGIA EN CONJUNTO CON EL INSTITUTO NACIONAL CENTRAL UNICO COORDINADOR DE ABLACION E IMPLANTE (INCUCAI).</t>
  </si>
  <si>
    <t xml:space="preserve"> 4 24/04/2025 -</t>
  </si>
  <si>
    <t xml:space="preserve"> GALARETTO, EDUARDO HORACIO -</t>
  </si>
  <si>
    <t xml:space="preserve">GALARETTO: PROYECTO DE DECLARACIÓN QUE DECLARA DE INTERES LA 1RA EDICION DE LA CONFERENCIA DE INTELIGENCIA ARTIFICIAL DE ROSARIO (CONFIAR 2025) A REALIZARSE EN EL MUSEO MUNICIPAL DE BELLAS ARTES JUAN B. CASTAGNINO, EL 7 DE MARZO DE 2025. </t>
  </si>
  <si>
    <t>ROMERO:  REPRODUCE EL PROYECTO DE LEY QUE CREA EL SISTEMA DE ALERTA RAPIDA SOFIA. (REF. S. 1224/23)</t>
  </si>
  <si>
    <t xml:space="preserve"> 05/03/2025 -</t>
  </si>
  <si>
    <t xml:space="preserve"> 04/06/2025 -</t>
  </si>
  <si>
    <t>DE SEGURIDAD INTERIOR Y NARCOTRÁFICO</t>
  </si>
  <si>
    <t>04/06/2025</t>
  </si>
  <si>
    <t>DE JUSTICIA Y ASUNTOS PENALES</t>
  </si>
  <si>
    <t>20/03/2025</t>
  </si>
  <si>
    <t xml:space="preserve">ROMERO: REPRODUCE EL PROYECTO DE LEY QUE ESTABLECE NORMAS PARA LA FACILITACION DE BUSQUEDA DE PERSONAS EXTRAVIADAS O DESAPARECIDAS (REF. S. 1225/23). 
</t>
  </si>
  <si>
    <t xml:space="preserve">  - 04/06/2025 -</t>
  </si>
  <si>
    <t xml:space="preserve"> 18/03/2025 - 30/04/2025 -</t>
  </si>
  <si>
    <t>30/04/2025</t>
  </si>
  <si>
    <t>CD</t>
  </si>
  <si>
    <t>PROYECTO DE LEY EN REVISION QUE APRUEBA EL ACUERDO INTERINO DE COMERCIO ENTRE EL MERCADO COMUN DEL SUR, LA REPUBLICA ARGENTINA, LA REPUBLICA FEDERATIVA DEL BRASIL, LA REPUBLICA DEL PARAGUAY Y LA REPUBLICA ORIENTAL DEL URUGUAY, POR UNA PARTE, Y LA UNION EUROPEA, POR OTRA PARTE, CELEBRADO EN LA CDAD. DE ASUNCION - REP. DEL PARAGUAY -, EL 17 DE ENERO DE 2026.</t>
  </si>
  <si>
    <t xml:space="preserve"> 110 26/02/2026 -</t>
  </si>
  <si>
    <t xml:space="preserve"> 13/02/2026 -</t>
  </si>
  <si>
    <t xml:space="preserve"> 18/02/2026 -</t>
  </si>
  <si>
    <t>DE RELACIONES EXTERIORES Y CULTO</t>
  </si>
  <si>
    <t>13/02/2026</t>
  </si>
  <si>
    <t>18/02/2026</t>
  </si>
  <si>
    <t>27800 - 26/02/2026</t>
  </si>
  <si>
    <t>MENSAJE N° 13/25 QUE SOLICITA ACUERDO PARA PROMOVER AL GRADO INMEDIATO SUPERIOR, CON FECHA 31 DE DICIEMBRE DE 2022, AL TENIENTE CORONEL DE INFANTERÍA FABIÁN TORRENGO.</t>
  </si>
  <si>
    <t xml:space="preserve"> 2 21/08/2025 -</t>
  </si>
  <si>
    <t>21/05/2025</t>
  </si>
  <si>
    <t>PROYECTO DE LEY EN REVISION DE REGIMEN PENAL JUVENIL.</t>
  </si>
  <si>
    <t xml:space="preserve"> 110 27/02/2026 -</t>
  </si>
  <si>
    <t xml:space="preserve">AP  27/02/2026            </t>
  </si>
  <si>
    <t>27801 - 27/02/2026</t>
  </si>
  <si>
    <t>PROYECTO DE LEY EN REVISION SOBRE REGIMEN PENAL TRIBUTARIO</t>
  </si>
  <si>
    <t xml:space="preserve"> 106 26/12/2025 -</t>
  </si>
  <si>
    <t>10/04/2026</t>
  </si>
  <si>
    <t xml:space="preserve"> 19/12/2025 -</t>
  </si>
  <si>
    <t>19/12/2025</t>
  </si>
  <si>
    <t xml:space="preserve">AP  26/12/2025            </t>
  </si>
  <si>
    <t>27799 - 26/12/2025</t>
  </si>
  <si>
    <t>PROYECTO DE LEY EN REVISION DE PRESUPUESTO GENERAL DE LA ADMINISTRACION NACIONAL PARA EL EJERCICIO FISCAL DEL AÑO 2026.</t>
  </si>
  <si>
    <t>27798 - 26/12/2025</t>
  </si>
  <si>
    <t>P</t>
  </si>
  <si>
    <t>PP</t>
  </si>
  <si>
    <t xml:space="preserve">RAFAEL DAVID SERFATY: EN SU CARÁCTER DE SEGUNDO SUPLENTE CANDIDATO A DIPUTADO NACIONAL POR EL PARTIDO LA LIBERTAD AVANZA, DISTRITO CHACO, PLANTEA LA IMPUGNACION AL DIPLOMA DEL SENADOR NACIONAL ELECTO POR LA PROV. DEL CHACO, JORGE MILTON CAPITANICH.
</t>
  </si>
  <si>
    <t xml:space="preserve"> 19/11/2025 -</t>
  </si>
  <si>
    <t xml:space="preserve">  - 19/11/2025 -</t>
  </si>
  <si>
    <t xml:space="preserve">DAMIAN TORRES: EN SU CARÁCTER DE VICEPRESIDENTE Y APODERADO DEL PARTIDO LA LIBERTAD AVANZA, DISTRITO RIO NEGRO, PLANTEA LA IMPUGNACION AL DIPLOMA DEL SENADOR NACIONAL ELECTO POR LA PROV. DE RIO NEGRO, MARTIN IGNACIO SORIA.
</t>
  </si>
  <si>
    <t>NOELIA NERINA VAZQUEZ: PLANTEAN LA IMPUGNACION AL DIPLOMA DE LA SENADORA NACIONAL ELECTA POR LA PROV. DE RIO NEGRO, MARIA LORENA VILLAVERDE</t>
  </si>
  <si>
    <t xml:space="preserve"> 18/11/2025 -</t>
  </si>
  <si>
    <t xml:space="preserve">  - 18/11/2025 -</t>
  </si>
  <si>
    <t>18/11/2025</t>
  </si>
  <si>
    <t xml:space="preserve">APODERADOS DEL PARTIDO JUSTICIALISTA - DISTRITO RIO NEGRO: PLANTEAN LA IMPUGNACION AL DIPLOMA DE LA SENADORA NACIONAL ELECTA POR LA PROV. DE RIO NEGRO, MARIA LORENA VILLAVERDE.
</t>
  </si>
  <si>
    <t xml:space="preserve"> 17/11/2025 -</t>
  </si>
  <si>
    <t xml:space="preserve"> 17/11/2025 -  -</t>
  </si>
  <si>
    <t>17/11/2025</t>
  </si>
  <si>
    <t>PROYECTO DE LEY EN REVISION QUE DECLARA LA EMERGENCIA SANITARIA DE LA SALUD PEDIÁTRICA Y DE LAS RESIDENCIAS NACIONALES EN SALUD</t>
  </si>
  <si>
    <t xml:space="preserve"> 70 21/08/2025 -</t>
  </si>
  <si>
    <t xml:space="preserve"> 11/08/2025 -</t>
  </si>
  <si>
    <t xml:space="preserve"> 19/08/2025 - 19/08/2025 -</t>
  </si>
  <si>
    <t xml:space="preserve">  - 12/08/2025 -</t>
  </si>
  <si>
    <t>12/08/2025</t>
  </si>
  <si>
    <t>DE POBLACIÓN Y DESARROLLO  HUMANO</t>
  </si>
  <si>
    <t xml:space="preserve">AP  22/08/2025            </t>
  </si>
  <si>
    <t>27796 - 22/08/2025</t>
  </si>
  <si>
    <t>PROYECTO DE LEY EN REVISION SOBRE LEY DE FINANCIAMIENTO DE LA EDUCACIÓN UNIVERSITARIA Y RECOMPOSICIÓN DEL SALARIO DOCENTE.</t>
  </si>
  <si>
    <t xml:space="preserve"> 12/08/2025 -</t>
  </si>
  <si>
    <t xml:space="preserve">AP  21/08/2025            </t>
  </si>
  <si>
    <t>27795 - 21/08/2025</t>
  </si>
  <si>
    <t>MENSAJE N° 11/25 QUE SOLICITA ACUERDO PARA NOMBRAR EMBAJADOR EXTRAORDINARIO Y PLENIPOTENCIARIO AL SR. WENCESLAO BUNGE SARAVIA.</t>
  </si>
  <si>
    <t xml:space="preserve"> 1 03/04/2025 -</t>
  </si>
  <si>
    <t>23/05/2025</t>
  </si>
  <si>
    <t xml:space="preserve"> 14/03/2025 -</t>
  </si>
  <si>
    <t>17/03/2025</t>
  </si>
  <si>
    <t>16/04/2025</t>
  </si>
  <si>
    <t xml:space="preserve">PROYECTO DE LEY EN REVISION QUE MODIFICA SUS SIMILARES 27.705 - DE PLAN DE PAGO DE DEUDA PREVISIONAL - Y 27.260 - DE REPARACION HISTORICA PARA JUBILADOS Y PENSIONADOS -. </t>
  </si>
  <si>
    <t xml:space="preserve"> 50 10/07/2025 -</t>
  </si>
  <si>
    <t>12/06/2025</t>
  </si>
  <si>
    <t xml:space="preserve">AP  10/07/2025            </t>
  </si>
  <si>
    <t>27792 - 10/07/2025</t>
  </si>
  <si>
    <t>PROYECTO DE LEY EN REVISION QUE DECLARA LA EMERGENCIA EN DISCAPACIDAD EN TODO EL TERRITORIO NACIONAL HASTA EL 31 DE DICIEMBRE DE 2026.- INCLUSIVE.</t>
  </si>
  <si>
    <t>13/06/2025</t>
  </si>
  <si>
    <t>27793 - 10/07/2025</t>
  </si>
  <si>
    <t>PROYECTO DE LEY EN REVISION QUE OTORGA UN INCREMENTO EXCEPCIONAL Y DE EMERGENCIA, PARA LAS JUBILACIONES Y PENSIONES ABONADAS POR LA ADMINISTRACIÓN NACIONAL DE LA SEGURIDAD SOCIAL -ANSES-.</t>
  </si>
  <si>
    <t xml:space="preserve">AP  10/07/2025  RE  20/08/2025        </t>
  </si>
  <si>
    <t>27791 - 10/07/2025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</si>
</sst>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indexed="8"/>
      <name val="Calibri"/>
    </font>
    <font>
      <b/>
      <sz val="11"/>
      <color indexed="8"/>
      <name val="Calibri"/>
    </font>
  </fonts>
  <fills count="2">
    <fill>
      <patternFill patternType="none"/>
    </fill>
    <fill>
      <patternFill patternType="gray125"/>
    </fill>
  </fills>
  <borders count="4">
    <border>
      <left/>
      <right/>
      <top/>
      <bottom/>
      <diagonal/>
    </border>
    <border>
      <left style="double">
        <color indexed="8"/>
      </left>
      <right style="double">
        <color indexed="8"/>
      </right>
      <top style="double">
        <color indexed="8"/>
      </top>
      <bottom/>
      <diagonal/>
    </border>
    <border>
      <left style="double">
        <color indexed="8"/>
      </left>
      <right style="double">
        <color indexed="8"/>
      </right>
      <top/>
      <bottom/>
      <diagonal/>
    </border>
    <border>
      <left style="double">
        <color indexed="8"/>
      </left>
      <right style="double">
        <color indexed="8"/>
      </right>
      <top/>
      <bottom style="double">
        <color indexed="8"/>
      </bottom>
      <diagonal/>
    </border>
  </borders>
  <cellStyleXfs count="1">
    <xf numFmtId="0" fontId="0" fillId="0" borderId="0" applyFill="0" applyProtection="0"/>
  </cellStyleXfs>
  <cellXfs count="5">
    <xf numFmtId="0" fontId="0" fillId="0" borderId="0" xfId="0" applyFill="1" applyProtection="1"/>
    <xf numFmtId="0" fontId="1" fillId="0" borderId="0" xfId="0" applyFont="1" applyFill="1" applyProtection="1"/>
    <xf numFmtId="0" fontId="1" fillId="0" borderId="1" xfId="0" applyFont="1" applyFill="1" applyBorder="1" applyAlignment="1" applyProtection="1">
      <alignment horizontal="center"/>
    </xf>
    <xf numFmtId="0" fontId="0" fillId="0" borderId="2" xfId="0" applyFill="1" applyBorder="1" applyAlignment="1" applyProtection="1">
      <alignment horizontal="center"/>
    </xf>
    <xf numFmtId="0" fontId="0" fillId="0" borderId="3" xfId="0" applyFill="1" applyBorder="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senado.gob.ar/parlamentario/parlamentaria/ordenDelDiaResultadoLink/2025/456" TargetMode="External"/><Relationship Id="rId299" Type="http://schemas.openxmlformats.org/officeDocument/2006/relationships/hyperlink" Target="https://www.senado.gob.ar/parlamentario/parlamentaria/ordenDelDiaResultadoLink/2025/336" TargetMode="External"/><Relationship Id="rId21" Type="http://schemas.openxmlformats.org/officeDocument/2006/relationships/hyperlink" Target="https://www.senado.gob.ar/parlamentario/parlamentaria/ordenDelDiaResultadoLink/2025/411" TargetMode="External"/><Relationship Id="rId63" Type="http://schemas.openxmlformats.org/officeDocument/2006/relationships/hyperlink" Target="https://www.senado.gob.ar/parlamentario/parlamentaria/ordenDelDiaResultadoLink/2025/545" TargetMode="External"/><Relationship Id="rId159" Type="http://schemas.openxmlformats.org/officeDocument/2006/relationships/hyperlink" Target="https://www.senado.gob.ar/parlamentario/parlamentaria/ordenDelDiaResultadoLink/2025/342" TargetMode="External"/><Relationship Id="rId324" Type="http://schemas.openxmlformats.org/officeDocument/2006/relationships/hyperlink" Target="https://www.senado.gob.ar/parlamentario/comisiones/verExp/215.25/S/PD" TargetMode="External"/><Relationship Id="rId366" Type="http://schemas.openxmlformats.org/officeDocument/2006/relationships/hyperlink" Target="https://www.senado.gob.ar/parlamentario/comisiones/verExp/159.25/PE/PL" TargetMode="External"/><Relationship Id="rId170" Type="http://schemas.openxmlformats.org/officeDocument/2006/relationships/hyperlink" Target="https://www.senado.gob.ar/parlamentario/comisiones/verExp/646.25/S/PD" TargetMode="External"/><Relationship Id="rId226" Type="http://schemas.openxmlformats.org/officeDocument/2006/relationships/hyperlink" Target="https://www.senado.gob.ar/parlamentario/comisiones/verExp/458.25/S/PD" TargetMode="External"/><Relationship Id="rId433" Type="http://schemas.openxmlformats.org/officeDocument/2006/relationships/hyperlink" Target="https://www.senado.gob.ar/parlamentario/comisiones/verExp/33.25/CD/PL" TargetMode="External"/><Relationship Id="rId268" Type="http://schemas.openxmlformats.org/officeDocument/2006/relationships/hyperlink" Target="https://www.senado.gob.ar/parlamentario/comisiones/verExp/331.25/S/PD" TargetMode="External"/><Relationship Id="rId32" Type="http://schemas.openxmlformats.org/officeDocument/2006/relationships/hyperlink" Target="https://www.senado.gob.ar/parlamentario/comisiones/verExp/1056.25/S/PD" TargetMode="External"/><Relationship Id="rId74" Type="http://schemas.openxmlformats.org/officeDocument/2006/relationships/hyperlink" Target="https://www.senado.gob.ar/parlamentario/comisiones/verExp/888.25/S/PD" TargetMode="External"/><Relationship Id="rId128" Type="http://schemas.openxmlformats.org/officeDocument/2006/relationships/hyperlink" Target="https://www.senado.gob.ar/parlamentario/comisiones/verExp/722.25/S/PD" TargetMode="External"/><Relationship Id="rId335" Type="http://schemas.openxmlformats.org/officeDocument/2006/relationships/hyperlink" Target="https://www.senado.gob.ar/parlamentario/parlamentaria/ordenDelDiaResultadoLink/2026/17" TargetMode="External"/><Relationship Id="rId377" Type="http://schemas.openxmlformats.org/officeDocument/2006/relationships/hyperlink" Target="https://www.senado.gob.ar/parlamentario/parlamentaria/ordenDelDiaResultadoLink/2025/515" TargetMode="External"/><Relationship Id="rId5" Type="http://schemas.openxmlformats.org/officeDocument/2006/relationships/hyperlink" Target="https://www.senado.gob.ar/parlamentario/parlamentaria/ordenDelDiaResultadoLink/2025/428" TargetMode="External"/><Relationship Id="rId181" Type="http://schemas.openxmlformats.org/officeDocument/2006/relationships/hyperlink" Target="https://www.senado.gob.ar/parlamentario/comisiones/verExp/580.25/S/PD" TargetMode="External"/><Relationship Id="rId237" Type="http://schemas.openxmlformats.org/officeDocument/2006/relationships/hyperlink" Target="https://www.senado.gob.ar/parlamentario/parlamentaria/ordenDelDiaResultadoLink/2025/325" TargetMode="External"/><Relationship Id="rId402" Type="http://schemas.openxmlformats.org/officeDocument/2006/relationships/hyperlink" Target="https://www.senado.gob.ar/parlamentario/comisiones/verExp/102.25/S/PD" TargetMode="External"/><Relationship Id="rId279" Type="http://schemas.openxmlformats.org/officeDocument/2006/relationships/hyperlink" Target="https://www.senado.gob.ar/parlamentario/comisiones/verExp/300.25/OV/CV" TargetMode="External"/><Relationship Id="rId444" Type="http://schemas.openxmlformats.org/officeDocument/2006/relationships/hyperlink" Target="https://www.senado.gob.ar/parlamentario/comisiones/verExp/16.25/P/PP" TargetMode="External"/><Relationship Id="rId43" Type="http://schemas.openxmlformats.org/officeDocument/2006/relationships/hyperlink" Target="https://www.senado.gob.ar/parlamentario/comisiones/verExp/1014.25/S/PD" TargetMode="External"/><Relationship Id="rId139" Type="http://schemas.openxmlformats.org/officeDocument/2006/relationships/hyperlink" Target="https://www.senado.gob.ar/parlamentario/comisiones/verExp/700.25/S/PD" TargetMode="External"/><Relationship Id="rId290" Type="http://schemas.openxmlformats.org/officeDocument/2006/relationships/hyperlink" Target="https://www.senado.gob.ar/parlamentario/parlamentaria/ordenDelDiaResultadoLink/2025/679" TargetMode="External"/><Relationship Id="rId304" Type="http://schemas.openxmlformats.org/officeDocument/2006/relationships/hyperlink" Target="https://www.senado.gob.ar/parlamentario/comisiones/verExp/274.25/S/PD" TargetMode="External"/><Relationship Id="rId346" Type="http://schemas.openxmlformats.org/officeDocument/2006/relationships/hyperlink" Target="https://www.senado.gob.ar/parlamentario/comisiones/verExp/170.25/S/PD" TargetMode="External"/><Relationship Id="rId388" Type="http://schemas.openxmlformats.org/officeDocument/2006/relationships/hyperlink" Target="https://www.senado.gob.ar/parlamentario/comisiones/verExp/109.25/PE/AC" TargetMode="External"/><Relationship Id="rId85" Type="http://schemas.openxmlformats.org/officeDocument/2006/relationships/hyperlink" Target="https://www.senado.gob.ar/parlamentario/comisiones/verExp/878.25/S/PD" TargetMode="External"/><Relationship Id="rId150" Type="http://schemas.openxmlformats.org/officeDocument/2006/relationships/hyperlink" Target="https://www.senado.gob.ar/parlamentario/parlamentaria/ordenDelDiaResultadoLink/2025/343" TargetMode="External"/><Relationship Id="rId192" Type="http://schemas.openxmlformats.org/officeDocument/2006/relationships/hyperlink" Target="https://www.senado.gob.ar/parlamentario/parlamentaria/ordenDelDiaResultadoLink/2025/341" TargetMode="External"/><Relationship Id="rId206" Type="http://schemas.openxmlformats.org/officeDocument/2006/relationships/hyperlink" Target="https://www.senado.gob.ar/parlamentario/comisiones/verExp/518.25/S/PD" TargetMode="External"/><Relationship Id="rId413" Type="http://schemas.openxmlformats.org/officeDocument/2006/relationships/hyperlink" Target="https://www.senado.gob.ar/parlamentario/parlamentaria/ordenDelDiaResultadoLink/2025/317" TargetMode="External"/><Relationship Id="rId248" Type="http://schemas.openxmlformats.org/officeDocument/2006/relationships/hyperlink" Target="https://www.senado.gob.ar/parlamentario/comisiones/verExp/422.25/S/PD" TargetMode="External"/><Relationship Id="rId455" Type="http://schemas.openxmlformats.org/officeDocument/2006/relationships/hyperlink" Target="https://www.senado.gob.ar/parlamentario/parlamentaria/ordenDelDiaResultadoLink/2025/425" TargetMode="External"/><Relationship Id="rId12" Type="http://schemas.openxmlformats.org/officeDocument/2006/relationships/hyperlink" Target="https://www.senado.gob.ar/parlamentario/comisiones/verExp/1168.25/S/PL" TargetMode="External"/><Relationship Id="rId108" Type="http://schemas.openxmlformats.org/officeDocument/2006/relationships/hyperlink" Target="https://www.senado.gob.ar/parlamentario/parlamentaria/ordenDelDiaResultadoLink/2025/417" TargetMode="External"/><Relationship Id="rId315" Type="http://schemas.openxmlformats.org/officeDocument/2006/relationships/hyperlink" Target="https://www.senado.gob.ar/parlamentario/comisiones/verExp/232.25/S/PD" TargetMode="External"/><Relationship Id="rId357" Type="http://schemas.openxmlformats.org/officeDocument/2006/relationships/hyperlink" Target="https://www.senado.gob.ar/parlamentario/comisiones/verExp/163.25/S/PD" TargetMode="External"/><Relationship Id="rId54" Type="http://schemas.openxmlformats.org/officeDocument/2006/relationships/hyperlink" Target="https://www.senado.gob.ar/parlamentario/parlamentaria/ordenDelDiaResultadoLink/2025/537" TargetMode="External"/><Relationship Id="rId96" Type="http://schemas.openxmlformats.org/officeDocument/2006/relationships/hyperlink" Target="https://www.senado.gob.ar/parlamentario/parlamentaria/ordenDelDiaResultadoLink/2025/408" TargetMode="External"/><Relationship Id="rId161" Type="http://schemas.openxmlformats.org/officeDocument/2006/relationships/hyperlink" Target="https://www.senado.gob.ar/parlamentario/comisiones/verExp/653.25/S/PD" TargetMode="External"/><Relationship Id="rId217" Type="http://schemas.openxmlformats.org/officeDocument/2006/relationships/hyperlink" Target="https://www.senado.gob.ar/parlamentario/comisiones/verExp/476.25/S/PD" TargetMode="External"/><Relationship Id="rId399" Type="http://schemas.openxmlformats.org/officeDocument/2006/relationships/hyperlink" Target="https://www.senado.gob.ar/parlamentario/comisiones/verExp/105.25/PE/AC" TargetMode="External"/><Relationship Id="rId259" Type="http://schemas.openxmlformats.org/officeDocument/2006/relationships/hyperlink" Target="https://www.senado.gob.ar/parlamentario/comisiones/verExp/354.25/S/PD" TargetMode="External"/><Relationship Id="rId424" Type="http://schemas.openxmlformats.org/officeDocument/2006/relationships/hyperlink" Target="https://www.senado.gob.ar/parlamentario/comisiones/verExp/72.25/S/PL" TargetMode="External"/><Relationship Id="rId466" Type="http://schemas.openxmlformats.org/officeDocument/2006/relationships/hyperlink" Target="https://www.senado.gob.ar/parlamentario/comisiones/verExp/4.25/CD/PL" TargetMode="External"/><Relationship Id="rId23" Type="http://schemas.openxmlformats.org/officeDocument/2006/relationships/hyperlink" Target="https://www.senado.gob.ar/parlamentario/comisiones/verExp/1138.25/S/PD" TargetMode="External"/><Relationship Id="rId119" Type="http://schemas.openxmlformats.org/officeDocument/2006/relationships/hyperlink" Target="https://www.senado.gob.ar/parlamentario/comisiones/verExp/775.25/S/PD" TargetMode="External"/><Relationship Id="rId270" Type="http://schemas.openxmlformats.org/officeDocument/2006/relationships/hyperlink" Target="https://www.senado.gob.ar/parlamentario/parlamentaria/ordenDelDiaResultadoLink/2025/528" TargetMode="External"/><Relationship Id="rId326" Type="http://schemas.openxmlformats.org/officeDocument/2006/relationships/hyperlink" Target="https://www.senado.gob.ar/parlamentario/parlamentaria/ordenDelDiaResultadoLink/2025/321" TargetMode="External"/><Relationship Id="rId65" Type="http://schemas.openxmlformats.org/officeDocument/2006/relationships/hyperlink" Target="https://www.senado.gob.ar/parlamentario/comisiones/verExp/974.25/S/PD" TargetMode="External"/><Relationship Id="rId130" Type="http://schemas.openxmlformats.org/officeDocument/2006/relationships/hyperlink" Target="https://www.senado.gob.ar/parlamentario/comisiones/verExp/718.25/S/PD" TargetMode="External"/><Relationship Id="rId368" Type="http://schemas.openxmlformats.org/officeDocument/2006/relationships/hyperlink" Target="https://www.senado.gob.ar/parlamentario/parlamentaria/ordenDelDiaResultadoLink/2025/706" TargetMode="External"/><Relationship Id="rId172" Type="http://schemas.openxmlformats.org/officeDocument/2006/relationships/hyperlink" Target="https://www.senado.gob.ar/parlamentario/comisiones/verExp/635.25/S/PD" TargetMode="External"/><Relationship Id="rId228" Type="http://schemas.openxmlformats.org/officeDocument/2006/relationships/hyperlink" Target="https://www.senado.gob.ar/parlamentario/parlamentaria/ordenDelDiaResultadoLink/2025/218" TargetMode="External"/><Relationship Id="rId435" Type="http://schemas.openxmlformats.org/officeDocument/2006/relationships/hyperlink" Target="https://www.senado.gob.ar/parlamentario/comisiones/verExp/31.25/CD/PL" TargetMode="External"/><Relationship Id="rId281" Type="http://schemas.openxmlformats.org/officeDocument/2006/relationships/hyperlink" Target="https://www.senado.gob.ar/parlamentario/parlamentaria/ordenDelDiaResultadoLink/2025/679" TargetMode="External"/><Relationship Id="rId337" Type="http://schemas.openxmlformats.org/officeDocument/2006/relationships/hyperlink" Target="https://www.senado.gob.ar/parlamentario/comisiones/verExp/176.25/S/PD" TargetMode="External"/><Relationship Id="rId34" Type="http://schemas.openxmlformats.org/officeDocument/2006/relationships/hyperlink" Target="https://www.senado.gob.ar/parlamentario/comisiones/verExp/1050.25/S/PD" TargetMode="External"/><Relationship Id="rId76" Type="http://schemas.openxmlformats.org/officeDocument/2006/relationships/hyperlink" Target="https://www.senado.gob.ar/parlamentario/comisiones/verExp/887.25/S/PD" TargetMode="External"/><Relationship Id="rId141" Type="http://schemas.openxmlformats.org/officeDocument/2006/relationships/hyperlink" Target="https://www.senado.gob.ar/parlamentario/parlamentaria/ordenDelDiaResultadoLink/2025/325" TargetMode="External"/><Relationship Id="rId379" Type="http://schemas.openxmlformats.org/officeDocument/2006/relationships/hyperlink" Target="https://www.senado.gob.ar/parlamentario/comisiones/verExp/132.25/PE/AC" TargetMode="External"/><Relationship Id="rId7" Type="http://schemas.openxmlformats.org/officeDocument/2006/relationships/hyperlink" Target="https://www.senado.gob.ar/parlamentario/comisiones/verExp/1309.25/S/PD" TargetMode="External"/><Relationship Id="rId183" Type="http://schemas.openxmlformats.org/officeDocument/2006/relationships/hyperlink" Target="https://www.senado.gob.ar/parlamentario/parlamentaria/ordenDelDiaResultadoLink/2025/320" TargetMode="External"/><Relationship Id="rId239" Type="http://schemas.openxmlformats.org/officeDocument/2006/relationships/hyperlink" Target="https://www.senado.gob.ar/parlamentario/comisiones/verExp/426.25/S/PD" TargetMode="External"/><Relationship Id="rId390" Type="http://schemas.openxmlformats.org/officeDocument/2006/relationships/hyperlink" Target="https://www.senado.gob.ar/parlamentario/comisiones/verExp/108.25/PE/AC" TargetMode="External"/><Relationship Id="rId404" Type="http://schemas.openxmlformats.org/officeDocument/2006/relationships/hyperlink" Target="https://www.senado.gob.ar/parlamentario/parlamentaria/ordenDelDiaResultadoLink/2025/284" TargetMode="External"/><Relationship Id="rId446" Type="http://schemas.openxmlformats.org/officeDocument/2006/relationships/hyperlink" Target="https://www.senado.gob.ar/parlamentario/parlamentaria/ordenDelDiaResultadoLink/2025/679" TargetMode="External"/><Relationship Id="rId250" Type="http://schemas.openxmlformats.org/officeDocument/2006/relationships/hyperlink" Target="https://www.senado.gob.ar/parlamentario/comisiones/verExp/418.25/S/PD" TargetMode="External"/><Relationship Id="rId292" Type="http://schemas.openxmlformats.org/officeDocument/2006/relationships/hyperlink" Target="https://www.senado.gob.ar/parlamentario/comisiones/verExp/288.25/OV/CV" TargetMode="External"/><Relationship Id="rId306" Type="http://schemas.openxmlformats.org/officeDocument/2006/relationships/hyperlink" Target="https://www.senado.gob.ar/parlamentario/comisiones/verExp/271.25/S/PD" TargetMode="External"/><Relationship Id="rId45" Type="http://schemas.openxmlformats.org/officeDocument/2006/relationships/hyperlink" Target="https://www.senado.gob.ar/parlamentario/parlamentaria/ordenDelDiaResultadoLink/2025/411" TargetMode="External"/><Relationship Id="rId87" Type="http://schemas.openxmlformats.org/officeDocument/2006/relationships/hyperlink" Target="https://www.senado.gob.ar/parlamentario/parlamentaria/ordenDelDiaResultadoLink/2025/403" TargetMode="External"/><Relationship Id="rId110" Type="http://schemas.openxmlformats.org/officeDocument/2006/relationships/hyperlink" Target="https://www.senado.gob.ar/parlamentario/comisiones/verExp/791.25/S/PD" TargetMode="External"/><Relationship Id="rId348" Type="http://schemas.openxmlformats.org/officeDocument/2006/relationships/hyperlink" Target="https://www.senado.gob.ar/parlamentario/comisiones/verExp/169.25/S/PD" TargetMode="External"/><Relationship Id="rId152" Type="http://schemas.openxmlformats.org/officeDocument/2006/relationships/hyperlink" Target="https://www.senado.gob.ar/parlamentario/comisiones/verExp/673.25/S/PD" TargetMode="External"/><Relationship Id="rId194" Type="http://schemas.openxmlformats.org/officeDocument/2006/relationships/hyperlink" Target="https://www.senado.gob.ar/parlamentario/comisiones/verExp/573.25/S/PD" TargetMode="External"/><Relationship Id="rId208" Type="http://schemas.openxmlformats.org/officeDocument/2006/relationships/hyperlink" Target="https://www.senado.gob.ar/parlamentario/comisiones/verExp/487.25/S/PD" TargetMode="External"/><Relationship Id="rId415" Type="http://schemas.openxmlformats.org/officeDocument/2006/relationships/hyperlink" Target="https://www.senado.gob.ar/parlamentario/comisiones/verExp/79.25/S/PD" TargetMode="External"/><Relationship Id="rId457" Type="http://schemas.openxmlformats.org/officeDocument/2006/relationships/hyperlink" Target="https://www.senado.gob.ar/parlamentario/comisiones/verExp/7.25/CD/PL" TargetMode="External"/><Relationship Id="rId261" Type="http://schemas.openxmlformats.org/officeDocument/2006/relationships/hyperlink" Target="https://www.senado.gob.ar/parlamentario/parlamentaria/ordenDelDiaResultadoLink/2025/530" TargetMode="External"/><Relationship Id="rId14" Type="http://schemas.openxmlformats.org/officeDocument/2006/relationships/hyperlink" Target="https://www.senado.gob.ar/parlamentario/comisiones/verExp/1167.25/S/PL" TargetMode="External"/><Relationship Id="rId56" Type="http://schemas.openxmlformats.org/officeDocument/2006/relationships/hyperlink" Target="https://www.senado.gob.ar/parlamentario/comisiones/verExp/985.25/S/PD" TargetMode="External"/><Relationship Id="rId317" Type="http://schemas.openxmlformats.org/officeDocument/2006/relationships/hyperlink" Target="https://www.senado.gob.ar/parlamentario/parlamentaria/ordenDelDiaResultadoLink/2025/335" TargetMode="External"/><Relationship Id="rId359" Type="http://schemas.openxmlformats.org/officeDocument/2006/relationships/hyperlink" Target="https://www.senado.gob.ar/parlamentario/parlamentaria/ordenDelDiaResultadoLink/2025/332" TargetMode="External"/><Relationship Id="rId98" Type="http://schemas.openxmlformats.org/officeDocument/2006/relationships/hyperlink" Target="https://www.senado.gob.ar/parlamentario/comisiones/verExp/841.25/S/PD" TargetMode="External"/><Relationship Id="rId121" Type="http://schemas.openxmlformats.org/officeDocument/2006/relationships/hyperlink" Target="https://www.senado.gob.ar/parlamentario/comisiones/verExp/772.25/S/PD" TargetMode="External"/><Relationship Id="rId163" Type="http://schemas.openxmlformats.org/officeDocument/2006/relationships/hyperlink" Target="https://www.senado.gob.ar/parlamentario/comisiones/verExp/650.25/S/PD" TargetMode="External"/><Relationship Id="rId219" Type="http://schemas.openxmlformats.org/officeDocument/2006/relationships/hyperlink" Target="https://www.senado.gob.ar/parlamentario/parlamentaria/ordenDelDiaResultadoLink/2025/229" TargetMode="External"/><Relationship Id="rId370" Type="http://schemas.openxmlformats.org/officeDocument/2006/relationships/hyperlink" Target="https://www.senado.gob.ar/parlamentario/comisiones/verExp/152.25/PE/AC" TargetMode="External"/><Relationship Id="rId426" Type="http://schemas.openxmlformats.org/officeDocument/2006/relationships/hyperlink" Target="https://www.senado.gob.ar/parlamentario/comisiones/verExp/34.25/CD/PL" TargetMode="External"/><Relationship Id="rId230" Type="http://schemas.openxmlformats.org/officeDocument/2006/relationships/hyperlink" Target="https://www.senado.gob.ar/parlamentario/comisiones/verExp/456.25/S/PD" TargetMode="External"/><Relationship Id="rId25" Type="http://schemas.openxmlformats.org/officeDocument/2006/relationships/hyperlink" Target="https://www.senado.gob.ar/parlamentario/comisiones/verExp/1067.25/S/PD" TargetMode="External"/><Relationship Id="rId67" Type="http://schemas.openxmlformats.org/officeDocument/2006/relationships/hyperlink" Target="https://www.senado.gob.ar/parlamentario/comisiones/verExp/930.25/S/PD" TargetMode="External"/><Relationship Id="rId272" Type="http://schemas.openxmlformats.org/officeDocument/2006/relationships/hyperlink" Target="https://www.senado.gob.ar/parlamentario/comisiones/verExp/303.25/S/PL" TargetMode="External"/><Relationship Id="rId328" Type="http://schemas.openxmlformats.org/officeDocument/2006/relationships/hyperlink" Target="https://www.senado.gob.ar/parlamentario/comisiones/verExp/198.25/S/PD" TargetMode="External"/><Relationship Id="rId132" Type="http://schemas.openxmlformats.org/officeDocument/2006/relationships/hyperlink" Target="https://www.senado.gob.ar/parlamentario/parlamentaria/ordenDelDiaResultadoLink/2025/536" TargetMode="External"/><Relationship Id="rId174" Type="http://schemas.openxmlformats.org/officeDocument/2006/relationships/hyperlink" Target="https://www.senado.gob.ar/parlamentario/parlamentaria/ordenDelDiaResultadoLink/2025/532" TargetMode="External"/><Relationship Id="rId381" Type="http://schemas.openxmlformats.org/officeDocument/2006/relationships/hyperlink" Target="https://www.senado.gob.ar/parlamentario/comisiones/verExp/114.25/PE/AC" TargetMode="External"/><Relationship Id="rId241" Type="http://schemas.openxmlformats.org/officeDocument/2006/relationships/hyperlink" Target="https://www.senado.gob.ar/parlamentario/comisiones/verExp/425.25/S/PD" TargetMode="External"/><Relationship Id="rId437" Type="http://schemas.openxmlformats.org/officeDocument/2006/relationships/hyperlink" Target="https://www.senado.gob.ar/parlamentario/parlamentaria/ordenDelDiaResultadoLink/2025/701" TargetMode="External"/><Relationship Id="rId36" Type="http://schemas.openxmlformats.org/officeDocument/2006/relationships/hyperlink" Target="https://www.senado.gob.ar/parlamentario/parlamentaria/ordenDelDiaResultadoLink/2025/413" TargetMode="External"/><Relationship Id="rId283" Type="http://schemas.openxmlformats.org/officeDocument/2006/relationships/hyperlink" Target="https://www.senado.gob.ar/parlamentario/comisiones/verExp/299.25/OV/CV" TargetMode="External"/><Relationship Id="rId339" Type="http://schemas.openxmlformats.org/officeDocument/2006/relationships/hyperlink" Target="https://www.senado.gob.ar/parlamentario/comisiones/verExp/175.25/PE/AC" TargetMode="External"/><Relationship Id="rId78" Type="http://schemas.openxmlformats.org/officeDocument/2006/relationships/hyperlink" Target="https://www.senado.gob.ar/parlamentario/parlamentaria/ordenDelDiaResultadoLink/2025/550" TargetMode="External"/><Relationship Id="rId101" Type="http://schemas.openxmlformats.org/officeDocument/2006/relationships/hyperlink" Target="https://www.senado.gob.ar/parlamentario/comisiones/verExp/818.25/S/PD" TargetMode="External"/><Relationship Id="rId143" Type="http://schemas.openxmlformats.org/officeDocument/2006/relationships/hyperlink" Target="https://www.senado.gob.ar/parlamentario/comisiones/verExp/691.25/S/PD" TargetMode="External"/><Relationship Id="rId185" Type="http://schemas.openxmlformats.org/officeDocument/2006/relationships/hyperlink" Target="https://www.senado.gob.ar/parlamentario/comisiones/verExp/577.25/S/PD" TargetMode="External"/><Relationship Id="rId350" Type="http://schemas.openxmlformats.org/officeDocument/2006/relationships/hyperlink" Target="https://www.senado.gob.ar/parlamentario/parlamentaria/ordenDelDiaResultadoLink/2025/541" TargetMode="External"/><Relationship Id="rId406" Type="http://schemas.openxmlformats.org/officeDocument/2006/relationships/hyperlink" Target="https://www.senado.gob.ar/parlamentario/comisiones/verExp/100.25/S/PD" TargetMode="External"/><Relationship Id="rId9" Type="http://schemas.openxmlformats.org/officeDocument/2006/relationships/hyperlink" Target="https://www.senado.gob.ar/parlamentario/comisiones/verExp/1282.25/S/PD" TargetMode="External"/><Relationship Id="rId210" Type="http://schemas.openxmlformats.org/officeDocument/2006/relationships/hyperlink" Target="https://www.senado.gob.ar/parlamentario/parlamentaria/ordenDelDiaResultadoLink/2025/340" TargetMode="External"/><Relationship Id="rId392" Type="http://schemas.openxmlformats.org/officeDocument/2006/relationships/hyperlink" Target="https://www.senado.gob.ar/parlamentario/parlamentaria/ordenDelDiaResultadoLink/2026/25" TargetMode="External"/><Relationship Id="rId448" Type="http://schemas.openxmlformats.org/officeDocument/2006/relationships/hyperlink" Target="https://www.senado.gob.ar/parlamentario/comisiones/verExp/15.25/P/PP" TargetMode="External"/><Relationship Id="rId252" Type="http://schemas.openxmlformats.org/officeDocument/2006/relationships/hyperlink" Target="https://www.senado.gob.ar/parlamentario/parlamentaria/ordenDelDiaResultadoLink/2025/337" TargetMode="External"/><Relationship Id="rId294" Type="http://schemas.openxmlformats.org/officeDocument/2006/relationships/hyperlink" Target="https://www.senado.gob.ar/parlamentario/comisiones/verExp/287.25/OV/CV" TargetMode="External"/><Relationship Id="rId308" Type="http://schemas.openxmlformats.org/officeDocument/2006/relationships/hyperlink" Target="https://www.senado.gob.ar/parlamentario/parlamentaria/ordenDelDiaResultadoLink/2025/519" TargetMode="External"/><Relationship Id="rId47" Type="http://schemas.openxmlformats.org/officeDocument/2006/relationships/hyperlink" Target="https://www.senado.gob.ar/parlamentario/comisiones/verExp/1010.25/S/PD" TargetMode="External"/><Relationship Id="rId89" Type="http://schemas.openxmlformats.org/officeDocument/2006/relationships/hyperlink" Target="https://www.senado.gob.ar/parlamentario/comisiones/verExp/873.25/S/PD" TargetMode="External"/><Relationship Id="rId112" Type="http://schemas.openxmlformats.org/officeDocument/2006/relationships/hyperlink" Target="https://www.senado.gob.ar/parlamentario/comisiones/verExp/789.25/S/PD" TargetMode="External"/><Relationship Id="rId154" Type="http://schemas.openxmlformats.org/officeDocument/2006/relationships/hyperlink" Target="https://www.senado.gob.ar/parlamentario/comisiones/verExp/660.25/S/PD" TargetMode="External"/><Relationship Id="rId361" Type="http://schemas.openxmlformats.org/officeDocument/2006/relationships/hyperlink" Target="https://www.senado.gob.ar/parlamentario/comisiones/verExp/161.25/PE/PL" TargetMode="External"/><Relationship Id="rId196" Type="http://schemas.openxmlformats.org/officeDocument/2006/relationships/hyperlink" Target="https://www.senado.gob.ar/parlamentario/comisiones/verExp/569.25/S/PD" TargetMode="External"/><Relationship Id="rId417" Type="http://schemas.openxmlformats.org/officeDocument/2006/relationships/hyperlink" Target="https://www.senado.gob.ar/parlamentario/comisiones/verExp/78.25/S/PD" TargetMode="External"/><Relationship Id="rId459" Type="http://schemas.openxmlformats.org/officeDocument/2006/relationships/hyperlink" Target="https://www.senado.gob.ar/parlamentario/comisiones/verExp/7.25/PE/AC" TargetMode="External"/><Relationship Id="rId16" Type="http://schemas.openxmlformats.org/officeDocument/2006/relationships/hyperlink" Target="https://www.senado.gob.ar/parlamentario/comisiones/verExp/1161.25/S/PD" TargetMode="External"/><Relationship Id="rId221" Type="http://schemas.openxmlformats.org/officeDocument/2006/relationships/hyperlink" Target="https://www.senado.gob.ar/parlamentario/comisiones/verExp/465.25/S/PD" TargetMode="External"/><Relationship Id="rId263" Type="http://schemas.openxmlformats.org/officeDocument/2006/relationships/hyperlink" Target="https://www.senado.gob.ar/parlamentario/comisiones/verExp/353.25/S/PD" TargetMode="External"/><Relationship Id="rId319" Type="http://schemas.openxmlformats.org/officeDocument/2006/relationships/hyperlink" Target="https://www.senado.gob.ar/parlamentario/comisiones/verExp/226.25/S/PD" TargetMode="External"/><Relationship Id="rId58" Type="http://schemas.openxmlformats.org/officeDocument/2006/relationships/hyperlink" Target="https://www.senado.gob.ar/parlamentario/comisiones/verExp/981.25/S/PD" TargetMode="External"/><Relationship Id="rId123" Type="http://schemas.openxmlformats.org/officeDocument/2006/relationships/hyperlink" Target="https://www.senado.gob.ar/parlamentario/parlamentaria/ordenDelDiaResultadoLink/2025/282" TargetMode="External"/><Relationship Id="rId330" Type="http://schemas.openxmlformats.org/officeDocument/2006/relationships/hyperlink" Target="https://www.senado.gob.ar/parlamentario/comisiones/verExp/186.25/S/PD" TargetMode="External"/><Relationship Id="rId165" Type="http://schemas.openxmlformats.org/officeDocument/2006/relationships/hyperlink" Target="https://www.senado.gob.ar/parlamentario/parlamentaria/ordenDelDiaResultadoLink/2025/281" TargetMode="External"/><Relationship Id="rId372" Type="http://schemas.openxmlformats.org/officeDocument/2006/relationships/hyperlink" Target="https://www.senado.gob.ar/parlamentario/comisiones/verExp/150.25/S/PD" TargetMode="External"/><Relationship Id="rId428" Type="http://schemas.openxmlformats.org/officeDocument/2006/relationships/hyperlink" Target="https://www.senado.gob.ar/parlamentario/parlamentaria/ordenDelDiaResultadoLink/2025/703" TargetMode="External"/><Relationship Id="rId232" Type="http://schemas.openxmlformats.org/officeDocument/2006/relationships/hyperlink" Target="https://www.senado.gob.ar/parlamentario/comisiones/verExp/453.25/S/PD" TargetMode="External"/><Relationship Id="rId274" Type="http://schemas.openxmlformats.org/officeDocument/2006/relationships/hyperlink" Target="https://www.senado.gob.ar/parlamentario/comisiones/verExp/302.25/OV/CV" TargetMode="External"/><Relationship Id="rId27" Type="http://schemas.openxmlformats.org/officeDocument/2006/relationships/hyperlink" Target="https://www.senado.gob.ar/parlamentario/parlamentaria/ordenDelDiaResultadoLink/2025/410" TargetMode="External"/><Relationship Id="rId69" Type="http://schemas.openxmlformats.org/officeDocument/2006/relationships/hyperlink" Target="https://www.senado.gob.ar/parlamentario/parlamentaria/ordenDelDiaResultadoLink/2025/403" TargetMode="External"/><Relationship Id="rId134" Type="http://schemas.openxmlformats.org/officeDocument/2006/relationships/hyperlink" Target="https://www.senado.gob.ar/parlamentario/comisiones/verExp/710.25/S/PD" TargetMode="External"/><Relationship Id="rId80" Type="http://schemas.openxmlformats.org/officeDocument/2006/relationships/hyperlink" Target="https://www.senado.gob.ar/parlamentario/comisiones/verExp/886.25/S/PD" TargetMode="External"/><Relationship Id="rId176" Type="http://schemas.openxmlformats.org/officeDocument/2006/relationships/hyperlink" Target="https://www.senado.gob.ar/parlamentario/comisiones/verExp/588.25/S/PD" TargetMode="External"/><Relationship Id="rId341" Type="http://schemas.openxmlformats.org/officeDocument/2006/relationships/hyperlink" Target="https://www.senado.gob.ar/parlamentario/parlamentaria/ordenDelDiaResultadoLink/2025/704" TargetMode="External"/><Relationship Id="rId383" Type="http://schemas.openxmlformats.org/officeDocument/2006/relationships/hyperlink" Target="https://www.senado.gob.ar/parlamentario/parlamentaria/ordenDelDiaResultadoLink/2025/575" TargetMode="External"/><Relationship Id="rId439" Type="http://schemas.openxmlformats.org/officeDocument/2006/relationships/hyperlink" Target="https://www.senado.gob.ar/parlamentario/comisiones/verExp/30.25/CD/PL" TargetMode="External"/><Relationship Id="rId201" Type="http://schemas.openxmlformats.org/officeDocument/2006/relationships/hyperlink" Target="https://www.senado.gob.ar/parlamentario/parlamentaria/ordenDelDiaResultadoLink/2025/280" TargetMode="External"/><Relationship Id="rId243" Type="http://schemas.openxmlformats.org/officeDocument/2006/relationships/hyperlink" Target="https://www.senado.gob.ar/parlamentario/parlamentaria/ordenDelDiaResultadoLink/2025/217" TargetMode="External"/><Relationship Id="rId285" Type="http://schemas.openxmlformats.org/officeDocument/2006/relationships/hyperlink" Target="https://www.senado.gob.ar/parlamentario/comisiones/verExp/299.25/S/PC" TargetMode="External"/><Relationship Id="rId450" Type="http://schemas.openxmlformats.org/officeDocument/2006/relationships/hyperlink" Target="https://www.senado.gob.ar/parlamentario/comisiones/verExp/14.25/P/PP" TargetMode="External"/><Relationship Id="rId38" Type="http://schemas.openxmlformats.org/officeDocument/2006/relationships/hyperlink" Target="https://www.senado.gob.ar/parlamentario/comisiones/verExp/1033.25/S/PD" TargetMode="External"/><Relationship Id="rId103" Type="http://schemas.openxmlformats.org/officeDocument/2006/relationships/hyperlink" Target="https://www.senado.gob.ar/parlamentario/comisiones/verExp/817.25/S/PD" TargetMode="External"/><Relationship Id="rId310" Type="http://schemas.openxmlformats.org/officeDocument/2006/relationships/hyperlink" Target="https://www.senado.gob.ar/parlamentario/comisiones/verExp/265.25/S/PD" TargetMode="External"/><Relationship Id="rId91" Type="http://schemas.openxmlformats.org/officeDocument/2006/relationships/hyperlink" Target="https://www.senado.gob.ar/parlamentario/comisiones/verExp/852.25/S/PD" TargetMode="External"/><Relationship Id="rId145" Type="http://schemas.openxmlformats.org/officeDocument/2006/relationships/hyperlink" Target="https://www.senado.gob.ar/parlamentario/comisiones/verExp/681.25/S/PL" TargetMode="External"/><Relationship Id="rId187" Type="http://schemas.openxmlformats.org/officeDocument/2006/relationships/hyperlink" Target="https://www.senado.gob.ar/parlamentario/comisiones/verExp/576.25/S/PD" TargetMode="External"/><Relationship Id="rId352" Type="http://schemas.openxmlformats.org/officeDocument/2006/relationships/hyperlink" Target="https://www.senado.gob.ar/parlamentario/comisiones/verExp/165.25/S/PD" TargetMode="External"/><Relationship Id="rId394" Type="http://schemas.openxmlformats.org/officeDocument/2006/relationships/hyperlink" Target="https://www.senado.gob.ar/parlamentario/comisiones/verExp/107.25/PE/AC" TargetMode="External"/><Relationship Id="rId408" Type="http://schemas.openxmlformats.org/officeDocument/2006/relationships/hyperlink" Target="https://www.senado.gob.ar/parlamentario/comisiones/verExp/92.25/S/PD" TargetMode="External"/><Relationship Id="rId212" Type="http://schemas.openxmlformats.org/officeDocument/2006/relationships/hyperlink" Target="https://www.senado.gob.ar/parlamentario/comisiones/verExp/486.25/S/PD" TargetMode="External"/><Relationship Id="rId254" Type="http://schemas.openxmlformats.org/officeDocument/2006/relationships/hyperlink" Target="https://www.senado.gob.ar/parlamentario/comisiones/verExp/416.25/S/PD" TargetMode="External"/><Relationship Id="rId49" Type="http://schemas.openxmlformats.org/officeDocument/2006/relationships/hyperlink" Target="https://www.senado.gob.ar/parlamentario/comisiones/verExp/1002.25/S/PD" TargetMode="External"/><Relationship Id="rId114" Type="http://schemas.openxmlformats.org/officeDocument/2006/relationships/hyperlink" Target="https://www.senado.gob.ar/parlamentario/parlamentaria/ordenDelDiaResultadoLink/2025/315" TargetMode="External"/><Relationship Id="rId296" Type="http://schemas.openxmlformats.org/officeDocument/2006/relationships/hyperlink" Target="https://www.senado.gob.ar/parlamentario/parlamentaria/ordenDelDiaResultadoLink/2025/679" TargetMode="External"/><Relationship Id="rId461" Type="http://schemas.openxmlformats.org/officeDocument/2006/relationships/hyperlink" Target="https://www.senado.gob.ar/parlamentario/parlamentaria/ordenDelDiaResultadoLink/2025/81" TargetMode="External"/><Relationship Id="rId60" Type="http://schemas.openxmlformats.org/officeDocument/2006/relationships/hyperlink" Target="https://www.senado.gob.ar/parlamentario/parlamentaria/ordenDelDiaResultadoLink/2025/546" TargetMode="External"/><Relationship Id="rId156" Type="http://schemas.openxmlformats.org/officeDocument/2006/relationships/hyperlink" Target="https://www.senado.gob.ar/parlamentario/parlamentaria/ordenDelDiaResultadoLink/2025/327" TargetMode="External"/><Relationship Id="rId198" Type="http://schemas.openxmlformats.org/officeDocument/2006/relationships/hyperlink" Target="https://www.senado.gob.ar/parlamentario/parlamentaria/ordenDelDiaResultadoLink/2025/221" TargetMode="External"/><Relationship Id="rId321" Type="http://schemas.openxmlformats.org/officeDocument/2006/relationships/hyperlink" Target="https://www.senado.gob.ar/parlamentario/comisiones/verExp/225.25/S/PD" TargetMode="External"/><Relationship Id="rId363" Type="http://schemas.openxmlformats.org/officeDocument/2006/relationships/hyperlink" Target="https://www.senado.gob.ar/parlamentario/comisiones/verExp/160.25/S/PD" TargetMode="External"/><Relationship Id="rId419" Type="http://schemas.openxmlformats.org/officeDocument/2006/relationships/hyperlink" Target="https://www.senado.gob.ar/parlamentario/parlamentaria/ordenDelDiaResultadoLink/2025/227" TargetMode="External"/><Relationship Id="rId223" Type="http://schemas.openxmlformats.org/officeDocument/2006/relationships/hyperlink" Target="https://www.senado.gob.ar/parlamentario/comisiones/verExp/460.25/S/PD" TargetMode="External"/><Relationship Id="rId430" Type="http://schemas.openxmlformats.org/officeDocument/2006/relationships/hyperlink" Target="https://www.senado.gob.ar/parlamentario/comisiones/verExp/34.25/PE/AC" TargetMode="External"/><Relationship Id="rId18" Type="http://schemas.openxmlformats.org/officeDocument/2006/relationships/hyperlink" Target="https://www.senado.gob.ar/parlamentario/parlamentaria/ordenDelDiaResultadoLink/2025/378" TargetMode="External"/><Relationship Id="rId265" Type="http://schemas.openxmlformats.org/officeDocument/2006/relationships/hyperlink" Target="https://www.senado.gob.ar/parlamentario/comisiones/verExp/332.25/S/PD" TargetMode="External"/><Relationship Id="rId125" Type="http://schemas.openxmlformats.org/officeDocument/2006/relationships/hyperlink" Target="https://www.senado.gob.ar/parlamentario/comisiones/verExp/723.25/S/PD" TargetMode="External"/><Relationship Id="rId167" Type="http://schemas.openxmlformats.org/officeDocument/2006/relationships/hyperlink" Target="https://www.senado.gob.ar/parlamentario/comisiones/verExp/647.25/S/PD" TargetMode="External"/><Relationship Id="rId332" Type="http://schemas.openxmlformats.org/officeDocument/2006/relationships/hyperlink" Target="https://www.senado.gob.ar/parlamentario/parlamentaria/ordenDelDiaResultadoLink/2025/334" TargetMode="External"/><Relationship Id="rId374" Type="http://schemas.openxmlformats.org/officeDocument/2006/relationships/hyperlink" Target="https://www.senado.gob.ar/parlamentario/parlamentaria/ordenDelDiaResultadoLink/2025/216" TargetMode="External"/><Relationship Id="rId71" Type="http://schemas.openxmlformats.org/officeDocument/2006/relationships/hyperlink" Target="https://www.senado.gob.ar/parlamentario/comisiones/verExp/899.25/S/PD" TargetMode="External"/><Relationship Id="rId234" Type="http://schemas.openxmlformats.org/officeDocument/2006/relationships/hyperlink" Target="https://www.senado.gob.ar/parlamentario/parlamentaria/ordenDelDiaResultadoLink/2025/210" TargetMode="External"/><Relationship Id="rId2" Type="http://schemas.openxmlformats.org/officeDocument/2006/relationships/hyperlink" Target="https://www.senado.gob.ar/parlamentario/comisiones/verExp/1431.25/S/PR" TargetMode="External"/><Relationship Id="rId29" Type="http://schemas.openxmlformats.org/officeDocument/2006/relationships/hyperlink" Target="https://www.senado.gob.ar/parlamentario/comisiones/verExp/1058.25/S/PD" TargetMode="External"/><Relationship Id="rId276" Type="http://schemas.openxmlformats.org/officeDocument/2006/relationships/hyperlink" Target="https://www.senado.gob.ar/parlamentario/comisiones/verExp/301.25/OV/CV" TargetMode="External"/><Relationship Id="rId441" Type="http://schemas.openxmlformats.org/officeDocument/2006/relationships/hyperlink" Target="https://www.senado.gob.ar/parlamentario/comisiones/verExp/17.25/P/PP" TargetMode="External"/><Relationship Id="rId40" Type="http://schemas.openxmlformats.org/officeDocument/2006/relationships/hyperlink" Target="https://www.senado.gob.ar/parlamentario/comisiones/verExp/1031.25/S/PD" TargetMode="External"/><Relationship Id="rId136" Type="http://schemas.openxmlformats.org/officeDocument/2006/relationships/hyperlink" Target="https://www.senado.gob.ar/parlamentario/comisiones/verExp/702.25/S/PD" TargetMode="External"/><Relationship Id="rId178" Type="http://schemas.openxmlformats.org/officeDocument/2006/relationships/hyperlink" Target="https://www.senado.gob.ar/parlamentario/comisiones/verExp/583.25/S/PD" TargetMode="External"/><Relationship Id="rId301" Type="http://schemas.openxmlformats.org/officeDocument/2006/relationships/hyperlink" Target="https://www.senado.gob.ar/parlamentario/comisiones/verExp/280.25/S/PD" TargetMode="External"/><Relationship Id="rId343" Type="http://schemas.openxmlformats.org/officeDocument/2006/relationships/hyperlink" Target="https://www.senado.gob.ar/parlamentario/comisiones/verExp/172.25/S/PL" TargetMode="External"/><Relationship Id="rId61" Type="http://schemas.openxmlformats.org/officeDocument/2006/relationships/hyperlink" Target="https://www.senado.gob.ar/parlamentario/comisiones/verExp/977.25/S/PD" TargetMode="External"/><Relationship Id="rId82" Type="http://schemas.openxmlformats.org/officeDocument/2006/relationships/hyperlink" Target="https://www.senado.gob.ar/parlamentario/comisiones/verExp/885.25/S/PD" TargetMode="External"/><Relationship Id="rId199" Type="http://schemas.openxmlformats.org/officeDocument/2006/relationships/hyperlink" Target="https://www.senado.gob.ar/parlamentario/comisiones/verExp/539.25/S/PD" TargetMode="External"/><Relationship Id="rId203" Type="http://schemas.openxmlformats.org/officeDocument/2006/relationships/hyperlink" Target="https://www.senado.gob.ar/parlamentario/comisiones/verExp/524.25/S/PD" TargetMode="External"/><Relationship Id="rId385" Type="http://schemas.openxmlformats.org/officeDocument/2006/relationships/hyperlink" Target="https://www.senado.gob.ar/parlamentario/comisiones/verExp/110.25/PE/AC" TargetMode="External"/><Relationship Id="rId19" Type="http://schemas.openxmlformats.org/officeDocument/2006/relationships/hyperlink" Target="https://www.senado.gob.ar/parlamentario/comisiones/verExp/1151.25/S/PD" TargetMode="External"/><Relationship Id="rId224" Type="http://schemas.openxmlformats.org/officeDocument/2006/relationships/hyperlink" Target="https://www.senado.gob.ar/parlamentario/comisiones/verExp/460.25/S/PD" TargetMode="External"/><Relationship Id="rId245" Type="http://schemas.openxmlformats.org/officeDocument/2006/relationships/hyperlink" Target="https://www.senado.gob.ar/parlamentario/comisiones/verExp/424.25/S/PD" TargetMode="External"/><Relationship Id="rId266" Type="http://schemas.openxmlformats.org/officeDocument/2006/relationships/hyperlink" Target="https://www.senado.gob.ar/parlamentario/comisiones/verExp/332.25/S/PD" TargetMode="External"/><Relationship Id="rId287" Type="http://schemas.openxmlformats.org/officeDocument/2006/relationships/hyperlink" Target="https://www.senado.gob.ar/parlamentario/parlamentaria/ordenDelDiaResultadoLink/2025/454" TargetMode="External"/><Relationship Id="rId410" Type="http://schemas.openxmlformats.org/officeDocument/2006/relationships/hyperlink" Target="https://www.senado.gob.ar/parlamentario/parlamentaria/ordenDelDiaResultadoLink/2025/228" TargetMode="External"/><Relationship Id="rId431" Type="http://schemas.openxmlformats.org/officeDocument/2006/relationships/hyperlink" Target="https://www.senado.gob.ar/parlamentario/parlamentaria/ordenDelDiaResultadoLink/2026/6" TargetMode="External"/><Relationship Id="rId452" Type="http://schemas.openxmlformats.org/officeDocument/2006/relationships/hyperlink" Target="https://www.senado.gob.ar/parlamentario/parlamentaria/ordenDelDiaResultadoLink/2025/679" TargetMode="External"/><Relationship Id="rId30" Type="http://schemas.openxmlformats.org/officeDocument/2006/relationships/hyperlink" Target="https://www.senado.gob.ar/parlamentario/parlamentaria/ordenDelDiaResultadoLink/2025/404" TargetMode="External"/><Relationship Id="rId105" Type="http://schemas.openxmlformats.org/officeDocument/2006/relationships/hyperlink" Target="https://www.senado.gob.ar/parlamentario/parlamentaria/ordenDelDiaResultadoLink/2025/517" TargetMode="External"/><Relationship Id="rId126" Type="http://schemas.openxmlformats.org/officeDocument/2006/relationships/hyperlink" Target="https://www.senado.gob.ar/parlamentario/parlamentaria/ordenDelDiaResultadoLink/2025/400" TargetMode="External"/><Relationship Id="rId147" Type="http://schemas.openxmlformats.org/officeDocument/2006/relationships/hyperlink" Target="https://www.senado.gob.ar/parlamentario/parlamentaria/ordenDelDiaResultadoLink/2025/299" TargetMode="External"/><Relationship Id="rId168" Type="http://schemas.openxmlformats.org/officeDocument/2006/relationships/hyperlink" Target="https://www.senado.gob.ar/parlamentario/parlamentaria/ordenDelDiaResultadoLink/2025/534" TargetMode="External"/><Relationship Id="rId312" Type="http://schemas.openxmlformats.org/officeDocument/2006/relationships/hyperlink" Target="https://www.senado.gob.ar/parlamentario/comisiones/verExp/237.25/S/PD" TargetMode="External"/><Relationship Id="rId333" Type="http://schemas.openxmlformats.org/officeDocument/2006/relationships/hyperlink" Target="https://www.senado.gob.ar/parlamentario/comisiones/verExp/176.25/PE/AC" TargetMode="External"/><Relationship Id="rId354" Type="http://schemas.openxmlformats.org/officeDocument/2006/relationships/hyperlink" Target="https://www.senado.gob.ar/parlamentario/comisiones/verExp/164.25/S/PD" TargetMode="External"/><Relationship Id="rId51" Type="http://schemas.openxmlformats.org/officeDocument/2006/relationships/hyperlink" Target="https://www.senado.gob.ar/parlamentario/parlamentaria/ordenDelDiaResultadoLink/2025/411" TargetMode="External"/><Relationship Id="rId72" Type="http://schemas.openxmlformats.org/officeDocument/2006/relationships/hyperlink" Target="https://www.senado.gob.ar/parlamentario/parlamentaria/ordenDelDiaResultadoLink/2025/403" TargetMode="External"/><Relationship Id="rId93" Type="http://schemas.openxmlformats.org/officeDocument/2006/relationships/hyperlink" Target="https://www.senado.gob.ar/parlamentario/parlamentaria/ordenDelDiaResultadoLink/2025/283" TargetMode="External"/><Relationship Id="rId189" Type="http://schemas.openxmlformats.org/officeDocument/2006/relationships/hyperlink" Target="https://www.senado.gob.ar/parlamentario/parlamentaria/ordenDelDiaResultadoLink/2025/521" TargetMode="External"/><Relationship Id="rId375" Type="http://schemas.openxmlformats.org/officeDocument/2006/relationships/hyperlink" Target="https://www.senado.gob.ar/parlamentario/comisiones/verExp/143.25/S/PD" TargetMode="External"/><Relationship Id="rId396" Type="http://schemas.openxmlformats.org/officeDocument/2006/relationships/hyperlink" Target="https://www.senado.gob.ar/parlamentario/comisiones/verExp/106.25/PE/AC" TargetMode="External"/><Relationship Id="rId3" Type="http://schemas.openxmlformats.org/officeDocument/2006/relationships/hyperlink" Target="https://www.senado.gob.ar/parlamentario/comisiones/verExp/1318.25/S/PL" TargetMode="External"/><Relationship Id="rId214" Type="http://schemas.openxmlformats.org/officeDocument/2006/relationships/hyperlink" Target="https://www.senado.gob.ar/parlamentario/comisiones/verExp/480.25/S/PD" TargetMode="External"/><Relationship Id="rId235" Type="http://schemas.openxmlformats.org/officeDocument/2006/relationships/hyperlink" Target="https://www.senado.gob.ar/parlamentario/comisiones/verExp/450.25/S/PD" TargetMode="External"/><Relationship Id="rId256" Type="http://schemas.openxmlformats.org/officeDocument/2006/relationships/hyperlink" Target="https://www.senado.gob.ar/parlamentario/comisiones/verExp/369.25/S/PD" TargetMode="External"/><Relationship Id="rId277" Type="http://schemas.openxmlformats.org/officeDocument/2006/relationships/hyperlink" Target="https://www.senado.gob.ar/parlamentario/comisiones/verExp/301.25/OV/CV" TargetMode="External"/><Relationship Id="rId298" Type="http://schemas.openxmlformats.org/officeDocument/2006/relationships/hyperlink" Target="https://www.senado.gob.ar/parlamentario/comisiones/verExp/281.25/S/PD" TargetMode="External"/><Relationship Id="rId400" Type="http://schemas.openxmlformats.org/officeDocument/2006/relationships/hyperlink" Target="https://www.senado.gob.ar/parlamentario/comisiones/verExp/105.25/PE/AC" TargetMode="External"/><Relationship Id="rId421" Type="http://schemas.openxmlformats.org/officeDocument/2006/relationships/hyperlink" Target="https://www.senado.gob.ar/parlamentario/comisiones/verExp/75.25/S/PL" TargetMode="External"/><Relationship Id="rId442" Type="http://schemas.openxmlformats.org/officeDocument/2006/relationships/hyperlink" Target="https://www.senado.gob.ar/parlamentario/comisiones/verExp/17.25/P/PP" TargetMode="External"/><Relationship Id="rId463" Type="http://schemas.openxmlformats.org/officeDocument/2006/relationships/hyperlink" Target="https://www.senado.gob.ar/parlamentario/comisiones/verExp/6.25/CD/PL" TargetMode="External"/><Relationship Id="rId116" Type="http://schemas.openxmlformats.org/officeDocument/2006/relationships/hyperlink" Target="https://www.senado.gob.ar/parlamentario/comisiones/verExp/782.25/S/PD" TargetMode="External"/><Relationship Id="rId137" Type="http://schemas.openxmlformats.org/officeDocument/2006/relationships/hyperlink" Target="https://www.senado.gob.ar/parlamentario/comisiones/verExp/702.25/S/PD" TargetMode="External"/><Relationship Id="rId158" Type="http://schemas.openxmlformats.org/officeDocument/2006/relationships/hyperlink" Target="https://www.senado.gob.ar/parlamentario/comisiones/verExp/659.25/S/PD" TargetMode="External"/><Relationship Id="rId302" Type="http://schemas.openxmlformats.org/officeDocument/2006/relationships/hyperlink" Target="https://www.senado.gob.ar/parlamentario/parlamentaria/ordenDelDiaResultadoLink/2025/322" TargetMode="External"/><Relationship Id="rId323" Type="http://schemas.openxmlformats.org/officeDocument/2006/relationships/hyperlink" Target="https://www.senado.gob.ar/parlamentario/parlamentaria/ordenDelDiaResultadoLink/2025/359" TargetMode="External"/><Relationship Id="rId344" Type="http://schemas.openxmlformats.org/officeDocument/2006/relationships/hyperlink" Target="https://www.senado.gob.ar/parlamentario/parlamentaria/ordenDelDiaResultadoLink/2025/5" TargetMode="External"/><Relationship Id="rId20" Type="http://schemas.openxmlformats.org/officeDocument/2006/relationships/hyperlink" Target="https://www.senado.gob.ar/parlamentario/comisiones/verExp/1151.25/S/PD" TargetMode="External"/><Relationship Id="rId41" Type="http://schemas.openxmlformats.org/officeDocument/2006/relationships/hyperlink" Target="https://www.senado.gob.ar/parlamentario/comisiones/verExp/1031.25/S/PD" TargetMode="External"/><Relationship Id="rId62" Type="http://schemas.openxmlformats.org/officeDocument/2006/relationships/hyperlink" Target="https://www.senado.gob.ar/parlamentario/comisiones/verExp/977.25/S/PD" TargetMode="External"/><Relationship Id="rId83" Type="http://schemas.openxmlformats.org/officeDocument/2006/relationships/hyperlink" Target="https://www.senado.gob.ar/parlamentario/comisiones/verExp/885.25/S/PD" TargetMode="External"/><Relationship Id="rId179" Type="http://schemas.openxmlformats.org/officeDocument/2006/relationships/hyperlink" Target="https://www.senado.gob.ar/parlamentario/comisiones/verExp/583.25/S/PD" TargetMode="External"/><Relationship Id="rId365" Type="http://schemas.openxmlformats.org/officeDocument/2006/relationships/hyperlink" Target="https://www.senado.gob.ar/parlamentario/parlamentaria/ordenDelDiaResultadoLink/2025/331" TargetMode="External"/><Relationship Id="rId386" Type="http://schemas.openxmlformats.org/officeDocument/2006/relationships/hyperlink" Target="https://www.senado.gob.ar/parlamentario/parlamentaria/ordenDelDiaResultadoLink/2026/27" TargetMode="External"/><Relationship Id="rId190" Type="http://schemas.openxmlformats.org/officeDocument/2006/relationships/hyperlink" Target="https://www.senado.gob.ar/parlamentario/comisiones/verExp/574.25/S/PD" TargetMode="External"/><Relationship Id="rId204" Type="http://schemas.openxmlformats.org/officeDocument/2006/relationships/hyperlink" Target="https://www.senado.gob.ar/parlamentario/parlamentaria/ordenDelDiaResultadoLink/2025/326" TargetMode="External"/><Relationship Id="rId225" Type="http://schemas.openxmlformats.org/officeDocument/2006/relationships/hyperlink" Target="https://www.senado.gob.ar/parlamentario/parlamentaria/ordenDelDiaResultadoLink/2025/219" TargetMode="External"/><Relationship Id="rId246" Type="http://schemas.openxmlformats.org/officeDocument/2006/relationships/hyperlink" Target="https://www.senado.gob.ar/parlamentario/parlamentaria/ordenDelDiaResultadoLink/2025/339" TargetMode="External"/><Relationship Id="rId267" Type="http://schemas.openxmlformats.org/officeDocument/2006/relationships/hyperlink" Target="https://www.senado.gob.ar/parlamentario/parlamentaria/ordenDelDiaResultadoLink/2025/529" TargetMode="External"/><Relationship Id="rId288" Type="http://schemas.openxmlformats.org/officeDocument/2006/relationships/hyperlink" Target="https://www.senado.gob.ar/parlamentario/comisiones/verExp/290.25/OV/CV" TargetMode="External"/><Relationship Id="rId411" Type="http://schemas.openxmlformats.org/officeDocument/2006/relationships/hyperlink" Target="https://www.senado.gob.ar/parlamentario/comisiones/verExp/85.25/S/PD" TargetMode="External"/><Relationship Id="rId432" Type="http://schemas.openxmlformats.org/officeDocument/2006/relationships/hyperlink" Target="https://www.senado.gob.ar/parlamentario/comisiones/verExp/33.25/CD/PL" TargetMode="External"/><Relationship Id="rId453" Type="http://schemas.openxmlformats.org/officeDocument/2006/relationships/hyperlink" Target="https://www.senado.gob.ar/parlamentario/comisiones/verExp/8.25/CD/PL" TargetMode="External"/><Relationship Id="rId106" Type="http://schemas.openxmlformats.org/officeDocument/2006/relationships/hyperlink" Target="https://www.senado.gob.ar/parlamentario/comisiones/verExp/799.25/S/PD" TargetMode="External"/><Relationship Id="rId127" Type="http://schemas.openxmlformats.org/officeDocument/2006/relationships/hyperlink" Target="https://www.senado.gob.ar/parlamentario/comisiones/verExp/722.25/S/PD" TargetMode="External"/><Relationship Id="rId313" Type="http://schemas.openxmlformats.org/officeDocument/2006/relationships/hyperlink" Target="https://www.senado.gob.ar/parlamentario/comisiones/verExp/237.25/S/PD" TargetMode="External"/><Relationship Id="rId10" Type="http://schemas.openxmlformats.org/officeDocument/2006/relationships/hyperlink" Target="https://www.senado.gob.ar/parlamentario/comisiones/verExp/1282.25/S/PD" TargetMode="External"/><Relationship Id="rId31" Type="http://schemas.openxmlformats.org/officeDocument/2006/relationships/hyperlink" Target="https://www.senado.gob.ar/parlamentario/comisiones/verExp/1056.25/S/PD" TargetMode="External"/><Relationship Id="rId52" Type="http://schemas.openxmlformats.org/officeDocument/2006/relationships/hyperlink" Target="https://www.senado.gob.ar/parlamentario/comisiones/verExp/986.25/S/PD" TargetMode="External"/><Relationship Id="rId73" Type="http://schemas.openxmlformats.org/officeDocument/2006/relationships/hyperlink" Target="https://www.senado.gob.ar/parlamentario/comisiones/verExp/888.25/S/PD" TargetMode="External"/><Relationship Id="rId94" Type="http://schemas.openxmlformats.org/officeDocument/2006/relationships/hyperlink" Target="https://www.senado.gob.ar/parlamentario/comisiones/verExp/851.25/S/PD" TargetMode="External"/><Relationship Id="rId148" Type="http://schemas.openxmlformats.org/officeDocument/2006/relationships/hyperlink" Target="https://www.senado.gob.ar/parlamentario/comisiones/verExp/674.25/S/PD" TargetMode="External"/><Relationship Id="rId169" Type="http://schemas.openxmlformats.org/officeDocument/2006/relationships/hyperlink" Target="https://www.senado.gob.ar/parlamentario/comisiones/verExp/646.25/S/PD" TargetMode="External"/><Relationship Id="rId334" Type="http://schemas.openxmlformats.org/officeDocument/2006/relationships/hyperlink" Target="https://www.senado.gob.ar/parlamentario/comisiones/verExp/176.25/PE/AC" TargetMode="External"/><Relationship Id="rId355" Type="http://schemas.openxmlformats.org/officeDocument/2006/relationships/hyperlink" Target="https://www.senado.gob.ar/parlamentario/comisiones/verExp/164.25/S/PD" TargetMode="External"/><Relationship Id="rId376" Type="http://schemas.openxmlformats.org/officeDocument/2006/relationships/hyperlink" Target="https://www.senado.gob.ar/parlamentario/comisiones/verExp/143.25/S/PD" TargetMode="External"/><Relationship Id="rId397" Type="http://schemas.openxmlformats.org/officeDocument/2006/relationships/hyperlink" Target="https://www.senado.gob.ar/parlamentario/comisiones/verExp/106.25/PE/AC" TargetMode="External"/><Relationship Id="rId4" Type="http://schemas.openxmlformats.org/officeDocument/2006/relationships/hyperlink" Target="https://www.senado.gob.ar/parlamentario/comisiones/verExp/1318.25/S/PL" TargetMode="External"/><Relationship Id="rId180" Type="http://schemas.openxmlformats.org/officeDocument/2006/relationships/hyperlink" Target="https://www.senado.gob.ar/parlamentario/parlamentaria/ordenDelDiaResultadoLink/2025/281" TargetMode="External"/><Relationship Id="rId215" Type="http://schemas.openxmlformats.org/officeDocument/2006/relationships/hyperlink" Target="https://www.senado.gob.ar/parlamentario/comisiones/verExp/480.25/S/PD" TargetMode="External"/><Relationship Id="rId236" Type="http://schemas.openxmlformats.org/officeDocument/2006/relationships/hyperlink" Target="https://www.senado.gob.ar/parlamentario/comisiones/verExp/450.25/S/PD" TargetMode="External"/><Relationship Id="rId257" Type="http://schemas.openxmlformats.org/officeDocument/2006/relationships/hyperlink" Target="https://www.senado.gob.ar/parlamentario/comisiones/verExp/369.25/S/PD" TargetMode="External"/><Relationship Id="rId278" Type="http://schemas.openxmlformats.org/officeDocument/2006/relationships/hyperlink" Target="https://www.senado.gob.ar/parlamentario/parlamentaria/ordenDelDiaResultadoLink/2025/679" TargetMode="External"/><Relationship Id="rId401" Type="http://schemas.openxmlformats.org/officeDocument/2006/relationships/hyperlink" Target="https://www.senado.gob.ar/parlamentario/parlamentaria/ordenDelDiaResultadoLink/2026/22" TargetMode="External"/><Relationship Id="rId422" Type="http://schemas.openxmlformats.org/officeDocument/2006/relationships/hyperlink" Target="https://www.senado.gob.ar/parlamentario/parlamentaria/ordenDelDiaResultadoLink/2025/205" TargetMode="External"/><Relationship Id="rId443" Type="http://schemas.openxmlformats.org/officeDocument/2006/relationships/hyperlink" Target="https://www.senado.gob.ar/parlamentario/parlamentaria/ordenDelDiaResultadoLink/2025/679" TargetMode="External"/><Relationship Id="rId464" Type="http://schemas.openxmlformats.org/officeDocument/2006/relationships/hyperlink" Target="https://www.senado.gob.ar/parlamentario/comisiones/verExp/5.25/CD/PL" TargetMode="External"/><Relationship Id="rId303" Type="http://schemas.openxmlformats.org/officeDocument/2006/relationships/hyperlink" Target="https://www.senado.gob.ar/parlamentario/comisiones/verExp/274.25/S/PD" TargetMode="External"/><Relationship Id="rId42" Type="http://schemas.openxmlformats.org/officeDocument/2006/relationships/hyperlink" Target="https://www.senado.gob.ar/parlamentario/parlamentaria/ordenDelDiaResultadoLink/2025/416" TargetMode="External"/><Relationship Id="rId84" Type="http://schemas.openxmlformats.org/officeDocument/2006/relationships/hyperlink" Target="https://www.senado.gob.ar/parlamentario/parlamentaria/ordenDelDiaResultadoLink/2025/283" TargetMode="External"/><Relationship Id="rId138" Type="http://schemas.openxmlformats.org/officeDocument/2006/relationships/hyperlink" Target="https://www.senado.gob.ar/parlamentario/parlamentaria/ordenDelDiaResultadoLink/2025/397" TargetMode="External"/><Relationship Id="rId345" Type="http://schemas.openxmlformats.org/officeDocument/2006/relationships/hyperlink" Target="https://www.senado.gob.ar/parlamentario/comisiones/verExp/170.25/S/PD" TargetMode="External"/><Relationship Id="rId387" Type="http://schemas.openxmlformats.org/officeDocument/2006/relationships/hyperlink" Target="https://www.senado.gob.ar/parlamentario/comisiones/verExp/109.25/PE/AC" TargetMode="External"/><Relationship Id="rId191" Type="http://schemas.openxmlformats.org/officeDocument/2006/relationships/hyperlink" Target="https://www.senado.gob.ar/parlamentario/comisiones/verExp/574.25/S/PD" TargetMode="External"/><Relationship Id="rId205" Type="http://schemas.openxmlformats.org/officeDocument/2006/relationships/hyperlink" Target="https://www.senado.gob.ar/parlamentario/comisiones/verExp/518.25/S/PD" TargetMode="External"/><Relationship Id="rId247" Type="http://schemas.openxmlformats.org/officeDocument/2006/relationships/hyperlink" Target="https://www.senado.gob.ar/parlamentario/comisiones/verExp/422.25/S/PD" TargetMode="External"/><Relationship Id="rId412" Type="http://schemas.openxmlformats.org/officeDocument/2006/relationships/hyperlink" Target="https://www.senado.gob.ar/parlamentario/comisiones/verExp/85.25/S/PD" TargetMode="External"/><Relationship Id="rId107" Type="http://schemas.openxmlformats.org/officeDocument/2006/relationships/hyperlink" Target="https://www.senado.gob.ar/parlamentario/comisiones/verExp/799.25/S/PD" TargetMode="External"/><Relationship Id="rId289" Type="http://schemas.openxmlformats.org/officeDocument/2006/relationships/hyperlink" Target="https://www.senado.gob.ar/parlamentario/comisiones/verExp/290.25/OV/CV" TargetMode="External"/><Relationship Id="rId454" Type="http://schemas.openxmlformats.org/officeDocument/2006/relationships/hyperlink" Target="https://www.senado.gob.ar/parlamentario/comisiones/verExp/8.25/CD/PL" TargetMode="External"/><Relationship Id="rId11" Type="http://schemas.openxmlformats.org/officeDocument/2006/relationships/hyperlink" Target="https://www.senado.gob.ar/parlamentario/parlamentaria/ordenDelDiaResultadoLink/2025/414" TargetMode="External"/><Relationship Id="rId53" Type="http://schemas.openxmlformats.org/officeDocument/2006/relationships/hyperlink" Target="https://www.senado.gob.ar/parlamentario/comisiones/verExp/986.25/S/PD" TargetMode="External"/><Relationship Id="rId149" Type="http://schemas.openxmlformats.org/officeDocument/2006/relationships/hyperlink" Target="https://www.senado.gob.ar/parlamentario/comisiones/verExp/674.25/S/PD" TargetMode="External"/><Relationship Id="rId314" Type="http://schemas.openxmlformats.org/officeDocument/2006/relationships/hyperlink" Target="https://www.senado.gob.ar/parlamentario/parlamentaria/ordenDelDiaResultadoLink/2025/518" TargetMode="External"/><Relationship Id="rId356" Type="http://schemas.openxmlformats.org/officeDocument/2006/relationships/hyperlink" Target="https://www.senado.gob.ar/parlamentario/parlamentaria/ordenDelDiaResultadoLink/2025/333" TargetMode="External"/><Relationship Id="rId398" Type="http://schemas.openxmlformats.org/officeDocument/2006/relationships/hyperlink" Target="https://www.senado.gob.ar/parlamentario/parlamentaria/ordenDelDiaResultadoLink/2026/23" TargetMode="External"/><Relationship Id="rId95" Type="http://schemas.openxmlformats.org/officeDocument/2006/relationships/hyperlink" Target="https://www.senado.gob.ar/parlamentario/comisiones/verExp/851.25/S/PD" TargetMode="External"/><Relationship Id="rId160" Type="http://schemas.openxmlformats.org/officeDocument/2006/relationships/hyperlink" Target="https://www.senado.gob.ar/parlamentario/comisiones/verExp/653.25/S/PD" TargetMode="External"/><Relationship Id="rId216" Type="http://schemas.openxmlformats.org/officeDocument/2006/relationships/hyperlink" Target="https://www.senado.gob.ar/parlamentario/parlamentaria/ordenDelDiaResultadoLink/2025/522" TargetMode="External"/><Relationship Id="rId423" Type="http://schemas.openxmlformats.org/officeDocument/2006/relationships/hyperlink" Target="https://www.senado.gob.ar/parlamentario/comisiones/verExp/72.25/S/PL" TargetMode="External"/><Relationship Id="rId258" Type="http://schemas.openxmlformats.org/officeDocument/2006/relationships/hyperlink" Target="https://www.senado.gob.ar/parlamentario/parlamentaria/ordenDelDiaResultadoLink/2025/324" TargetMode="External"/><Relationship Id="rId465" Type="http://schemas.openxmlformats.org/officeDocument/2006/relationships/hyperlink" Target="https://www.senado.gob.ar/parlamentario/comisiones/verExp/5.25/CD/PL" TargetMode="External"/><Relationship Id="rId22" Type="http://schemas.openxmlformats.org/officeDocument/2006/relationships/hyperlink" Target="https://www.senado.gob.ar/parlamentario/comisiones/verExp/1138.25/S/PD" TargetMode="External"/><Relationship Id="rId64" Type="http://schemas.openxmlformats.org/officeDocument/2006/relationships/hyperlink" Target="https://www.senado.gob.ar/parlamentario/comisiones/verExp/974.25/S/PD" TargetMode="External"/><Relationship Id="rId118" Type="http://schemas.openxmlformats.org/officeDocument/2006/relationships/hyperlink" Target="https://www.senado.gob.ar/parlamentario/comisiones/verExp/775.25/S/PD" TargetMode="External"/><Relationship Id="rId325" Type="http://schemas.openxmlformats.org/officeDocument/2006/relationships/hyperlink" Target="https://www.senado.gob.ar/parlamentario/comisiones/verExp/215.25/S/PD" TargetMode="External"/><Relationship Id="rId367" Type="http://schemas.openxmlformats.org/officeDocument/2006/relationships/hyperlink" Target="https://www.senado.gob.ar/parlamentario/comisiones/verExp/159.25/PE/PL" TargetMode="External"/><Relationship Id="rId171" Type="http://schemas.openxmlformats.org/officeDocument/2006/relationships/hyperlink" Target="https://www.senado.gob.ar/parlamentario/parlamentaria/ordenDelDiaResultadoLink/2025/533" TargetMode="External"/><Relationship Id="rId227" Type="http://schemas.openxmlformats.org/officeDocument/2006/relationships/hyperlink" Target="https://www.senado.gob.ar/parlamentario/comisiones/verExp/458.25/S/PD" TargetMode="External"/><Relationship Id="rId269" Type="http://schemas.openxmlformats.org/officeDocument/2006/relationships/hyperlink" Target="https://www.senado.gob.ar/parlamentario/comisiones/verExp/331.25/S/PD" TargetMode="External"/><Relationship Id="rId434" Type="http://schemas.openxmlformats.org/officeDocument/2006/relationships/hyperlink" Target="https://www.senado.gob.ar/parlamentario/parlamentaria/ordenDelDiaResultadoLink/2025/705" TargetMode="External"/><Relationship Id="rId33" Type="http://schemas.openxmlformats.org/officeDocument/2006/relationships/hyperlink" Target="https://www.senado.gob.ar/parlamentario/parlamentaria/ordenDelDiaResultadoLink/2025/544" TargetMode="External"/><Relationship Id="rId129" Type="http://schemas.openxmlformats.org/officeDocument/2006/relationships/hyperlink" Target="https://www.senado.gob.ar/parlamentario/parlamentaria/ordenDelDiaResultadoLink/2025/399" TargetMode="External"/><Relationship Id="rId280" Type="http://schemas.openxmlformats.org/officeDocument/2006/relationships/hyperlink" Target="https://www.senado.gob.ar/parlamentario/comisiones/verExp/300.25/OV/CV" TargetMode="External"/><Relationship Id="rId336" Type="http://schemas.openxmlformats.org/officeDocument/2006/relationships/hyperlink" Target="https://www.senado.gob.ar/parlamentario/comisiones/verExp/176.25/S/PD" TargetMode="External"/><Relationship Id="rId75" Type="http://schemas.openxmlformats.org/officeDocument/2006/relationships/hyperlink" Target="https://www.senado.gob.ar/parlamentario/parlamentaria/ordenDelDiaResultadoLink/2025/412" TargetMode="External"/><Relationship Id="rId140" Type="http://schemas.openxmlformats.org/officeDocument/2006/relationships/hyperlink" Target="https://www.senado.gob.ar/parlamentario/comisiones/verExp/700.25/S/PD" TargetMode="External"/><Relationship Id="rId182" Type="http://schemas.openxmlformats.org/officeDocument/2006/relationships/hyperlink" Target="https://www.senado.gob.ar/parlamentario/comisiones/verExp/580.25/S/PD" TargetMode="External"/><Relationship Id="rId378" Type="http://schemas.openxmlformats.org/officeDocument/2006/relationships/hyperlink" Target="https://www.senado.gob.ar/parlamentario/comisiones/verExp/132.25/PE/AC" TargetMode="External"/><Relationship Id="rId403" Type="http://schemas.openxmlformats.org/officeDocument/2006/relationships/hyperlink" Target="https://www.senado.gob.ar/parlamentario/comisiones/verExp/102.25/S/PD" TargetMode="External"/><Relationship Id="rId6" Type="http://schemas.openxmlformats.org/officeDocument/2006/relationships/hyperlink" Target="https://www.senado.gob.ar/parlamentario/comisiones/verExp/1309.25/S/PD" TargetMode="External"/><Relationship Id="rId238" Type="http://schemas.openxmlformats.org/officeDocument/2006/relationships/hyperlink" Target="https://www.senado.gob.ar/parlamentario/comisiones/verExp/426.25/S/PD" TargetMode="External"/><Relationship Id="rId445" Type="http://schemas.openxmlformats.org/officeDocument/2006/relationships/hyperlink" Target="https://www.senado.gob.ar/parlamentario/comisiones/verExp/16.25/P/PP" TargetMode="External"/><Relationship Id="rId291" Type="http://schemas.openxmlformats.org/officeDocument/2006/relationships/hyperlink" Target="https://www.senado.gob.ar/parlamentario/comisiones/verExp/288.25/OV/CV" TargetMode="External"/><Relationship Id="rId305" Type="http://schemas.openxmlformats.org/officeDocument/2006/relationships/hyperlink" Target="https://www.senado.gob.ar/parlamentario/parlamentaria/ordenDelDiaResultadoLink/2025/422" TargetMode="External"/><Relationship Id="rId347" Type="http://schemas.openxmlformats.org/officeDocument/2006/relationships/hyperlink" Target="https://www.senado.gob.ar/parlamentario/parlamentaria/ordenDelDiaResultadoLink/2025/359" TargetMode="External"/><Relationship Id="rId44" Type="http://schemas.openxmlformats.org/officeDocument/2006/relationships/hyperlink" Target="https://www.senado.gob.ar/parlamentario/comisiones/verExp/1014.25/S/PD" TargetMode="External"/><Relationship Id="rId86" Type="http://schemas.openxmlformats.org/officeDocument/2006/relationships/hyperlink" Target="https://www.senado.gob.ar/parlamentario/comisiones/verExp/878.25/S/PD" TargetMode="External"/><Relationship Id="rId151" Type="http://schemas.openxmlformats.org/officeDocument/2006/relationships/hyperlink" Target="https://www.senado.gob.ar/parlamentario/comisiones/verExp/673.25/S/PD" TargetMode="External"/><Relationship Id="rId389" Type="http://schemas.openxmlformats.org/officeDocument/2006/relationships/hyperlink" Target="https://www.senado.gob.ar/parlamentario/parlamentaria/ordenDelDiaResultadoLink/2026/26" TargetMode="External"/><Relationship Id="rId193" Type="http://schemas.openxmlformats.org/officeDocument/2006/relationships/hyperlink" Target="https://www.senado.gob.ar/parlamentario/comisiones/verExp/573.25/S/PD" TargetMode="External"/><Relationship Id="rId207" Type="http://schemas.openxmlformats.org/officeDocument/2006/relationships/hyperlink" Target="https://www.senado.gob.ar/parlamentario/parlamentaria/ordenDelDiaResultadoLink/2025/220" TargetMode="External"/><Relationship Id="rId249" Type="http://schemas.openxmlformats.org/officeDocument/2006/relationships/hyperlink" Target="https://www.senado.gob.ar/parlamentario/parlamentaria/ordenDelDiaResultadoLink/2025/338" TargetMode="External"/><Relationship Id="rId414" Type="http://schemas.openxmlformats.org/officeDocument/2006/relationships/hyperlink" Target="https://www.senado.gob.ar/parlamentario/comisiones/verExp/79.25/S/PD" TargetMode="External"/><Relationship Id="rId456" Type="http://schemas.openxmlformats.org/officeDocument/2006/relationships/hyperlink" Target="https://www.senado.gob.ar/parlamentario/comisiones/verExp/7.25/CD/PL" TargetMode="External"/><Relationship Id="rId13" Type="http://schemas.openxmlformats.org/officeDocument/2006/relationships/hyperlink" Target="https://www.senado.gob.ar/parlamentario/comisiones/verExp/1168.25/S/PL" TargetMode="External"/><Relationship Id="rId109" Type="http://schemas.openxmlformats.org/officeDocument/2006/relationships/hyperlink" Target="https://www.senado.gob.ar/parlamentario/comisiones/verExp/791.25/S/PD" TargetMode="External"/><Relationship Id="rId260" Type="http://schemas.openxmlformats.org/officeDocument/2006/relationships/hyperlink" Target="https://www.senado.gob.ar/parlamentario/comisiones/verExp/354.25/S/PD" TargetMode="External"/><Relationship Id="rId316" Type="http://schemas.openxmlformats.org/officeDocument/2006/relationships/hyperlink" Target="https://www.senado.gob.ar/parlamentario/comisiones/verExp/232.25/S/PD" TargetMode="External"/><Relationship Id="rId55" Type="http://schemas.openxmlformats.org/officeDocument/2006/relationships/hyperlink" Target="https://www.senado.gob.ar/parlamentario/comisiones/verExp/985.25/S/PD" TargetMode="External"/><Relationship Id="rId97" Type="http://schemas.openxmlformats.org/officeDocument/2006/relationships/hyperlink" Target="https://www.senado.gob.ar/parlamentario/comisiones/verExp/841.25/S/PD" TargetMode="External"/><Relationship Id="rId120" Type="http://schemas.openxmlformats.org/officeDocument/2006/relationships/hyperlink" Target="https://www.senado.gob.ar/parlamentario/parlamentaria/ordenDelDiaResultadoLink/2025/548" TargetMode="External"/><Relationship Id="rId358" Type="http://schemas.openxmlformats.org/officeDocument/2006/relationships/hyperlink" Target="https://www.senado.gob.ar/parlamentario/comisiones/verExp/163.25/S/PD" TargetMode="External"/><Relationship Id="rId162" Type="http://schemas.openxmlformats.org/officeDocument/2006/relationships/hyperlink" Target="https://www.senado.gob.ar/parlamentario/parlamentaria/ordenDelDiaResultadoLink/2025/520" TargetMode="External"/><Relationship Id="rId218" Type="http://schemas.openxmlformats.org/officeDocument/2006/relationships/hyperlink" Target="https://www.senado.gob.ar/parlamentario/comisiones/verExp/476.25/S/PD" TargetMode="External"/><Relationship Id="rId425" Type="http://schemas.openxmlformats.org/officeDocument/2006/relationships/hyperlink" Target="https://www.senado.gob.ar/parlamentario/parlamentaria/ordenDelDiaResultadoLink/2025/205" TargetMode="External"/><Relationship Id="rId467" Type="http://schemas.openxmlformats.org/officeDocument/2006/relationships/hyperlink" Target="https://www.senado.gob.ar/parlamentario/comisiones/verExp/4.25/CD/PL" TargetMode="External"/><Relationship Id="rId271" Type="http://schemas.openxmlformats.org/officeDocument/2006/relationships/hyperlink" Target="https://www.senado.gob.ar/parlamentario/comisiones/verExp/303.25/S/PL" TargetMode="External"/><Relationship Id="rId24" Type="http://schemas.openxmlformats.org/officeDocument/2006/relationships/hyperlink" Target="https://www.senado.gob.ar/parlamentario/parlamentaria/ordenDelDiaResultadoLink/2025/409" TargetMode="External"/><Relationship Id="rId66" Type="http://schemas.openxmlformats.org/officeDocument/2006/relationships/hyperlink" Target="https://www.senado.gob.ar/parlamentario/parlamentaria/ordenDelDiaResultadoLink/2025/540" TargetMode="External"/><Relationship Id="rId131" Type="http://schemas.openxmlformats.org/officeDocument/2006/relationships/hyperlink" Target="https://www.senado.gob.ar/parlamentario/comisiones/verExp/718.25/S/PD" TargetMode="External"/><Relationship Id="rId327" Type="http://schemas.openxmlformats.org/officeDocument/2006/relationships/hyperlink" Target="https://www.senado.gob.ar/parlamentario/comisiones/verExp/198.25/S/PD" TargetMode="External"/><Relationship Id="rId369" Type="http://schemas.openxmlformats.org/officeDocument/2006/relationships/hyperlink" Target="https://www.senado.gob.ar/parlamentario/comisiones/verExp/152.25/PE/AC" TargetMode="External"/><Relationship Id="rId173" Type="http://schemas.openxmlformats.org/officeDocument/2006/relationships/hyperlink" Target="https://www.senado.gob.ar/parlamentario/comisiones/verExp/635.25/S/PD" TargetMode="External"/><Relationship Id="rId229" Type="http://schemas.openxmlformats.org/officeDocument/2006/relationships/hyperlink" Target="https://www.senado.gob.ar/parlamentario/comisiones/verExp/456.25/S/PD" TargetMode="External"/><Relationship Id="rId380" Type="http://schemas.openxmlformats.org/officeDocument/2006/relationships/hyperlink" Target="https://www.senado.gob.ar/parlamentario/parlamentaria/ordenDelDiaResultadoLink/2026/7" TargetMode="External"/><Relationship Id="rId436" Type="http://schemas.openxmlformats.org/officeDocument/2006/relationships/hyperlink" Target="https://www.senado.gob.ar/parlamentario/comisiones/verExp/31.25/CD/PL" TargetMode="External"/><Relationship Id="rId240" Type="http://schemas.openxmlformats.org/officeDocument/2006/relationships/hyperlink" Target="https://www.senado.gob.ar/parlamentario/parlamentaria/ordenDelDiaResultadoLink/2025/314" TargetMode="External"/><Relationship Id="rId35" Type="http://schemas.openxmlformats.org/officeDocument/2006/relationships/hyperlink" Target="https://www.senado.gob.ar/parlamentario/comisiones/verExp/1050.25/S/PD" TargetMode="External"/><Relationship Id="rId77" Type="http://schemas.openxmlformats.org/officeDocument/2006/relationships/hyperlink" Target="https://www.senado.gob.ar/parlamentario/comisiones/verExp/887.25/S/PD" TargetMode="External"/><Relationship Id="rId100" Type="http://schemas.openxmlformats.org/officeDocument/2006/relationships/hyperlink" Target="https://www.senado.gob.ar/parlamentario/comisiones/verExp/818.25/S/PD" TargetMode="External"/><Relationship Id="rId282" Type="http://schemas.openxmlformats.org/officeDocument/2006/relationships/hyperlink" Target="https://www.senado.gob.ar/parlamentario/comisiones/verExp/299.25/OV/CV" TargetMode="External"/><Relationship Id="rId338" Type="http://schemas.openxmlformats.org/officeDocument/2006/relationships/hyperlink" Target="https://www.senado.gob.ar/parlamentario/parlamentaria/ordenDelDiaResultadoLink/2025/359" TargetMode="External"/><Relationship Id="rId8" Type="http://schemas.openxmlformats.org/officeDocument/2006/relationships/hyperlink" Target="https://www.senado.gob.ar/parlamentario/parlamentaria/ordenDelDiaResultadoLink/2025/418" TargetMode="External"/><Relationship Id="rId142" Type="http://schemas.openxmlformats.org/officeDocument/2006/relationships/hyperlink" Target="https://www.senado.gob.ar/parlamentario/comisiones/verExp/691.25/S/PD" TargetMode="External"/><Relationship Id="rId184" Type="http://schemas.openxmlformats.org/officeDocument/2006/relationships/hyperlink" Target="https://www.senado.gob.ar/parlamentario/comisiones/verExp/577.25/S/PD" TargetMode="External"/><Relationship Id="rId391" Type="http://schemas.openxmlformats.org/officeDocument/2006/relationships/hyperlink" Target="https://www.senado.gob.ar/parlamentario/comisiones/verExp/108.25/PE/AC" TargetMode="External"/><Relationship Id="rId405" Type="http://schemas.openxmlformats.org/officeDocument/2006/relationships/hyperlink" Target="https://www.senado.gob.ar/parlamentario/comisiones/verExp/100.25/S/PD" TargetMode="External"/><Relationship Id="rId447" Type="http://schemas.openxmlformats.org/officeDocument/2006/relationships/hyperlink" Target="https://www.senado.gob.ar/parlamentario/comisiones/verExp/15.25/P/PP" TargetMode="External"/><Relationship Id="rId251" Type="http://schemas.openxmlformats.org/officeDocument/2006/relationships/hyperlink" Target="https://www.senado.gob.ar/parlamentario/comisiones/verExp/418.25/S/PD" TargetMode="External"/><Relationship Id="rId46" Type="http://schemas.openxmlformats.org/officeDocument/2006/relationships/hyperlink" Target="https://www.senado.gob.ar/parlamentario/comisiones/verExp/1010.25/S/PD" TargetMode="External"/><Relationship Id="rId293" Type="http://schemas.openxmlformats.org/officeDocument/2006/relationships/hyperlink" Target="https://www.senado.gob.ar/parlamentario/parlamentaria/ordenDelDiaResultadoLink/2025/679" TargetMode="External"/><Relationship Id="rId307" Type="http://schemas.openxmlformats.org/officeDocument/2006/relationships/hyperlink" Target="https://www.senado.gob.ar/parlamentario/comisiones/verExp/271.25/S/PD" TargetMode="External"/><Relationship Id="rId349" Type="http://schemas.openxmlformats.org/officeDocument/2006/relationships/hyperlink" Target="https://www.senado.gob.ar/parlamentario/comisiones/verExp/169.25/S/PD" TargetMode="External"/><Relationship Id="rId88" Type="http://schemas.openxmlformats.org/officeDocument/2006/relationships/hyperlink" Target="https://www.senado.gob.ar/parlamentario/comisiones/verExp/873.25/S/PD" TargetMode="External"/><Relationship Id="rId111" Type="http://schemas.openxmlformats.org/officeDocument/2006/relationships/hyperlink" Target="https://www.senado.gob.ar/parlamentario/parlamentaria/ordenDelDiaResultadoLink/2025/516" TargetMode="External"/><Relationship Id="rId153" Type="http://schemas.openxmlformats.org/officeDocument/2006/relationships/hyperlink" Target="https://www.senado.gob.ar/parlamentario/parlamentaria/ordenDelDiaResultadoLink/2025/345" TargetMode="External"/><Relationship Id="rId195" Type="http://schemas.openxmlformats.org/officeDocument/2006/relationships/hyperlink" Target="https://www.senado.gob.ar/parlamentario/parlamentaria/ordenDelDiaResultadoLink/2025/523" TargetMode="External"/><Relationship Id="rId209" Type="http://schemas.openxmlformats.org/officeDocument/2006/relationships/hyperlink" Target="https://www.senado.gob.ar/parlamentario/comisiones/verExp/487.25/S/PD" TargetMode="External"/><Relationship Id="rId360" Type="http://schemas.openxmlformats.org/officeDocument/2006/relationships/hyperlink" Target="https://www.senado.gob.ar/parlamentario/comisiones/verExp/161.25/PE/PL" TargetMode="External"/><Relationship Id="rId416" Type="http://schemas.openxmlformats.org/officeDocument/2006/relationships/hyperlink" Target="https://www.senado.gob.ar/parlamentario/parlamentaria/ordenDelDiaResultadoLink/2025/208" TargetMode="External"/><Relationship Id="rId220" Type="http://schemas.openxmlformats.org/officeDocument/2006/relationships/hyperlink" Target="https://www.senado.gob.ar/parlamentario/comisiones/verExp/465.25/S/PD" TargetMode="External"/><Relationship Id="rId458" Type="http://schemas.openxmlformats.org/officeDocument/2006/relationships/hyperlink" Target="https://www.senado.gob.ar/parlamentario/parlamentaria/ordenDelDiaResultadoLink/2025/424" TargetMode="External"/><Relationship Id="rId15" Type="http://schemas.openxmlformats.org/officeDocument/2006/relationships/hyperlink" Target="https://www.senado.gob.ar/parlamentario/comisiones/verExp/1167.25/S/PL" TargetMode="External"/><Relationship Id="rId57" Type="http://schemas.openxmlformats.org/officeDocument/2006/relationships/hyperlink" Target="https://www.senado.gob.ar/parlamentario/parlamentaria/ordenDelDiaResultadoLink/2025/547" TargetMode="External"/><Relationship Id="rId262" Type="http://schemas.openxmlformats.org/officeDocument/2006/relationships/hyperlink" Target="https://www.senado.gob.ar/parlamentario/comisiones/verExp/353.25/S/PD" TargetMode="External"/><Relationship Id="rId318" Type="http://schemas.openxmlformats.org/officeDocument/2006/relationships/hyperlink" Target="https://www.senado.gob.ar/parlamentario/comisiones/verExp/226.25/S/PD" TargetMode="External"/><Relationship Id="rId99" Type="http://schemas.openxmlformats.org/officeDocument/2006/relationships/hyperlink" Target="https://www.senado.gob.ar/parlamentario/parlamentaria/ordenDelDiaResultadoLink/2025/407" TargetMode="External"/><Relationship Id="rId122" Type="http://schemas.openxmlformats.org/officeDocument/2006/relationships/hyperlink" Target="https://www.senado.gob.ar/parlamentario/comisiones/verExp/772.25/S/PD" TargetMode="External"/><Relationship Id="rId164" Type="http://schemas.openxmlformats.org/officeDocument/2006/relationships/hyperlink" Target="https://www.senado.gob.ar/parlamentario/comisiones/verExp/650.25/S/PD" TargetMode="External"/><Relationship Id="rId371" Type="http://schemas.openxmlformats.org/officeDocument/2006/relationships/hyperlink" Target="https://www.senado.gob.ar/parlamentario/parlamentaria/ordenDelDiaResultadoLink/2026/8" TargetMode="External"/><Relationship Id="rId427" Type="http://schemas.openxmlformats.org/officeDocument/2006/relationships/hyperlink" Target="https://www.senado.gob.ar/parlamentario/comisiones/verExp/34.25/CD/PL" TargetMode="External"/><Relationship Id="rId26" Type="http://schemas.openxmlformats.org/officeDocument/2006/relationships/hyperlink" Target="https://www.senado.gob.ar/parlamentario/comisiones/verExp/1067.25/S/PD" TargetMode="External"/><Relationship Id="rId231" Type="http://schemas.openxmlformats.org/officeDocument/2006/relationships/hyperlink" Target="https://www.senado.gob.ar/parlamentario/parlamentaria/ordenDelDiaResultadoLink/2025/369" TargetMode="External"/><Relationship Id="rId273" Type="http://schemas.openxmlformats.org/officeDocument/2006/relationships/hyperlink" Target="https://www.senado.gob.ar/parlamentario/comisiones/verExp/302.25/OV/CV" TargetMode="External"/><Relationship Id="rId329" Type="http://schemas.openxmlformats.org/officeDocument/2006/relationships/hyperlink" Target="https://www.senado.gob.ar/parlamentario/parlamentaria/ordenDelDiaResultadoLink/2025/313" TargetMode="External"/><Relationship Id="rId68" Type="http://schemas.openxmlformats.org/officeDocument/2006/relationships/hyperlink" Target="https://www.senado.gob.ar/parlamentario/comisiones/verExp/930.25/S/PD" TargetMode="External"/><Relationship Id="rId133" Type="http://schemas.openxmlformats.org/officeDocument/2006/relationships/hyperlink" Target="https://www.senado.gob.ar/parlamentario/comisiones/verExp/710.25/S/PD" TargetMode="External"/><Relationship Id="rId175" Type="http://schemas.openxmlformats.org/officeDocument/2006/relationships/hyperlink" Target="https://www.senado.gob.ar/parlamentario/comisiones/verExp/588.25/S/PD" TargetMode="External"/><Relationship Id="rId340" Type="http://schemas.openxmlformats.org/officeDocument/2006/relationships/hyperlink" Target="https://www.senado.gob.ar/parlamentario/comisiones/verExp/175.25/PE/AC" TargetMode="External"/><Relationship Id="rId200" Type="http://schemas.openxmlformats.org/officeDocument/2006/relationships/hyperlink" Target="https://www.senado.gob.ar/parlamentario/comisiones/verExp/539.25/S/PD" TargetMode="External"/><Relationship Id="rId382" Type="http://schemas.openxmlformats.org/officeDocument/2006/relationships/hyperlink" Target="https://www.senado.gob.ar/parlamentario/comisiones/verExp/114.25/PE/AC" TargetMode="External"/><Relationship Id="rId438" Type="http://schemas.openxmlformats.org/officeDocument/2006/relationships/hyperlink" Target="https://www.senado.gob.ar/parlamentario/comisiones/verExp/30.25/CD/PL" TargetMode="External"/><Relationship Id="rId242" Type="http://schemas.openxmlformats.org/officeDocument/2006/relationships/hyperlink" Target="https://www.senado.gob.ar/parlamentario/comisiones/verExp/425.25/S/PD" TargetMode="External"/><Relationship Id="rId284" Type="http://schemas.openxmlformats.org/officeDocument/2006/relationships/hyperlink" Target="https://www.senado.gob.ar/parlamentario/parlamentaria/ordenDelDiaResultadoLink/2025/679" TargetMode="External"/><Relationship Id="rId37" Type="http://schemas.openxmlformats.org/officeDocument/2006/relationships/hyperlink" Target="https://www.senado.gob.ar/parlamentario/comisiones/verExp/1033.25/S/PD" TargetMode="External"/><Relationship Id="rId79" Type="http://schemas.openxmlformats.org/officeDocument/2006/relationships/hyperlink" Target="https://www.senado.gob.ar/parlamentario/comisiones/verExp/886.25/S/PD" TargetMode="External"/><Relationship Id="rId102" Type="http://schemas.openxmlformats.org/officeDocument/2006/relationships/hyperlink" Target="https://www.senado.gob.ar/parlamentario/parlamentaria/ordenDelDiaResultadoLink/2025/415" TargetMode="External"/><Relationship Id="rId144" Type="http://schemas.openxmlformats.org/officeDocument/2006/relationships/hyperlink" Target="https://www.senado.gob.ar/parlamentario/parlamentaria/ordenDelDiaResultadoLink/2025/282" TargetMode="External"/><Relationship Id="rId90" Type="http://schemas.openxmlformats.org/officeDocument/2006/relationships/hyperlink" Target="https://www.senado.gob.ar/parlamentario/parlamentaria/ordenDelDiaResultadoLink/2025/542" TargetMode="External"/><Relationship Id="rId186" Type="http://schemas.openxmlformats.org/officeDocument/2006/relationships/hyperlink" Target="https://www.senado.gob.ar/parlamentario/parlamentaria/ordenDelDiaResultadoLink/2025/343" TargetMode="External"/><Relationship Id="rId351" Type="http://schemas.openxmlformats.org/officeDocument/2006/relationships/hyperlink" Target="https://www.senado.gob.ar/parlamentario/comisiones/verExp/165.25/S/PD" TargetMode="External"/><Relationship Id="rId393" Type="http://schemas.openxmlformats.org/officeDocument/2006/relationships/hyperlink" Target="https://www.senado.gob.ar/parlamentario/comisiones/verExp/107.25/PE/AC" TargetMode="External"/><Relationship Id="rId407" Type="http://schemas.openxmlformats.org/officeDocument/2006/relationships/hyperlink" Target="https://www.senado.gob.ar/parlamentario/parlamentaria/ordenDelDiaResultadoLink/2025/357" TargetMode="External"/><Relationship Id="rId449" Type="http://schemas.openxmlformats.org/officeDocument/2006/relationships/hyperlink" Target="https://www.senado.gob.ar/parlamentario/parlamentaria/ordenDelDiaResultadoLink/2025/679" TargetMode="External"/><Relationship Id="rId211" Type="http://schemas.openxmlformats.org/officeDocument/2006/relationships/hyperlink" Target="https://www.senado.gob.ar/parlamentario/comisiones/verExp/486.25/S/PD" TargetMode="External"/><Relationship Id="rId253" Type="http://schemas.openxmlformats.org/officeDocument/2006/relationships/hyperlink" Target="https://www.senado.gob.ar/parlamentario/comisiones/verExp/416.25/S/PD" TargetMode="External"/><Relationship Id="rId295" Type="http://schemas.openxmlformats.org/officeDocument/2006/relationships/hyperlink" Target="https://www.senado.gob.ar/parlamentario/comisiones/verExp/287.25/OV/CV" TargetMode="External"/><Relationship Id="rId309" Type="http://schemas.openxmlformats.org/officeDocument/2006/relationships/hyperlink" Target="https://www.senado.gob.ar/parlamentario/comisiones/verExp/265.25/S/PD" TargetMode="External"/><Relationship Id="rId460" Type="http://schemas.openxmlformats.org/officeDocument/2006/relationships/hyperlink" Target="https://www.senado.gob.ar/parlamentario/comisiones/verExp/7.25/PE/AC" TargetMode="External"/><Relationship Id="rId48" Type="http://schemas.openxmlformats.org/officeDocument/2006/relationships/hyperlink" Target="https://www.senado.gob.ar/parlamentario/parlamentaria/ordenDelDiaResultadoLink/2025/411" TargetMode="External"/><Relationship Id="rId113" Type="http://schemas.openxmlformats.org/officeDocument/2006/relationships/hyperlink" Target="https://www.senado.gob.ar/parlamentario/comisiones/verExp/789.25/S/PD" TargetMode="External"/><Relationship Id="rId320" Type="http://schemas.openxmlformats.org/officeDocument/2006/relationships/hyperlink" Target="https://www.senado.gob.ar/parlamentario/parlamentaria/ordenDelDiaResultadoLink/2025/359" TargetMode="External"/><Relationship Id="rId155" Type="http://schemas.openxmlformats.org/officeDocument/2006/relationships/hyperlink" Target="https://www.senado.gob.ar/parlamentario/comisiones/verExp/660.25/S/PD" TargetMode="External"/><Relationship Id="rId197" Type="http://schemas.openxmlformats.org/officeDocument/2006/relationships/hyperlink" Target="https://www.senado.gob.ar/parlamentario/comisiones/verExp/569.25/S/PD" TargetMode="External"/><Relationship Id="rId362" Type="http://schemas.openxmlformats.org/officeDocument/2006/relationships/hyperlink" Target="https://www.senado.gob.ar/parlamentario/parlamentaria/ordenDelDiaResultadoLink/2025/700" TargetMode="External"/><Relationship Id="rId418" Type="http://schemas.openxmlformats.org/officeDocument/2006/relationships/hyperlink" Target="https://www.senado.gob.ar/parlamentario/comisiones/verExp/78.25/S/PD" TargetMode="External"/><Relationship Id="rId222" Type="http://schemas.openxmlformats.org/officeDocument/2006/relationships/hyperlink" Target="https://www.senado.gob.ar/parlamentario/parlamentaria/ordenDelDiaResultadoLink/2025/531" TargetMode="External"/><Relationship Id="rId264" Type="http://schemas.openxmlformats.org/officeDocument/2006/relationships/hyperlink" Target="https://www.senado.gob.ar/parlamentario/parlamentaria/ordenDelDiaResultadoLink/2025/323" TargetMode="External"/><Relationship Id="rId17" Type="http://schemas.openxmlformats.org/officeDocument/2006/relationships/hyperlink" Target="https://www.senado.gob.ar/parlamentario/comisiones/verExp/1161.25/S/PD" TargetMode="External"/><Relationship Id="rId59" Type="http://schemas.openxmlformats.org/officeDocument/2006/relationships/hyperlink" Target="https://www.senado.gob.ar/parlamentario/comisiones/verExp/981.25/S/PD" TargetMode="External"/><Relationship Id="rId124" Type="http://schemas.openxmlformats.org/officeDocument/2006/relationships/hyperlink" Target="https://www.senado.gob.ar/parlamentario/comisiones/verExp/723.25/S/PD" TargetMode="External"/><Relationship Id="rId70" Type="http://schemas.openxmlformats.org/officeDocument/2006/relationships/hyperlink" Target="https://www.senado.gob.ar/parlamentario/comisiones/verExp/899.25/S/PD" TargetMode="External"/><Relationship Id="rId166" Type="http://schemas.openxmlformats.org/officeDocument/2006/relationships/hyperlink" Target="https://www.senado.gob.ar/parlamentario/comisiones/verExp/647.25/S/PD" TargetMode="External"/><Relationship Id="rId331" Type="http://schemas.openxmlformats.org/officeDocument/2006/relationships/hyperlink" Target="https://www.senado.gob.ar/parlamentario/comisiones/verExp/186.25/S/PD" TargetMode="External"/><Relationship Id="rId373" Type="http://schemas.openxmlformats.org/officeDocument/2006/relationships/hyperlink" Target="https://www.senado.gob.ar/parlamentario/comisiones/verExp/150.25/S/PD" TargetMode="External"/><Relationship Id="rId429" Type="http://schemas.openxmlformats.org/officeDocument/2006/relationships/hyperlink" Target="https://www.senado.gob.ar/parlamentario/comisiones/verExp/34.25/PE/AC" TargetMode="External"/><Relationship Id="rId1" Type="http://schemas.openxmlformats.org/officeDocument/2006/relationships/hyperlink" Target="https://www.senado.gob.ar/parlamentario/comisiones/verExp/1431.25/S/PR" TargetMode="External"/><Relationship Id="rId233" Type="http://schemas.openxmlformats.org/officeDocument/2006/relationships/hyperlink" Target="https://www.senado.gob.ar/parlamentario/comisiones/verExp/453.25/S/PD" TargetMode="External"/><Relationship Id="rId440" Type="http://schemas.openxmlformats.org/officeDocument/2006/relationships/hyperlink" Target="https://www.senado.gob.ar/parlamentario/parlamentaria/ordenDelDiaResultadoLink/2025/702" TargetMode="External"/><Relationship Id="rId28" Type="http://schemas.openxmlformats.org/officeDocument/2006/relationships/hyperlink" Target="https://www.senado.gob.ar/parlamentario/comisiones/verExp/1058.25/S/PD" TargetMode="External"/><Relationship Id="rId275" Type="http://schemas.openxmlformats.org/officeDocument/2006/relationships/hyperlink" Target="https://www.senado.gob.ar/parlamentario/parlamentaria/ordenDelDiaResultadoLink/2025/679" TargetMode="External"/><Relationship Id="rId300" Type="http://schemas.openxmlformats.org/officeDocument/2006/relationships/hyperlink" Target="https://www.senado.gob.ar/parlamentario/comisiones/verExp/280.25/S/PD" TargetMode="External"/><Relationship Id="rId81" Type="http://schemas.openxmlformats.org/officeDocument/2006/relationships/hyperlink" Target="https://www.senado.gob.ar/parlamentario/parlamentaria/ordenDelDiaResultadoLink/2025/549" TargetMode="External"/><Relationship Id="rId135" Type="http://schemas.openxmlformats.org/officeDocument/2006/relationships/hyperlink" Target="https://www.senado.gob.ar/parlamentario/parlamentaria/ordenDelDiaResultadoLink/2025/535" TargetMode="External"/><Relationship Id="rId177" Type="http://schemas.openxmlformats.org/officeDocument/2006/relationships/hyperlink" Target="https://www.senado.gob.ar/parlamentario/parlamentaria/ordenDelDiaResultadoLink/2025/344" TargetMode="External"/><Relationship Id="rId342" Type="http://schemas.openxmlformats.org/officeDocument/2006/relationships/hyperlink" Target="https://www.senado.gob.ar/parlamentario/comisiones/verExp/172.25/S/PL" TargetMode="External"/><Relationship Id="rId384" Type="http://schemas.openxmlformats.org/officeDocument/2006/relationships/hyperlink" Target="https://www.senado.gob.ar/parlamentario/comisiones/verExp/110.25/PE/AC" TargetMode="External"/><Relationship Id="rId202" Type="http://schemas.openxmlformats.org/officeDocument/2006/relationships/hyperlink" Target="https://www.senado.gob.ar/parlamentario/comisiones/verExp/524.25/S/PD" TargetMode="External"/><Relationship Id="rId244" Type="http://schemas.openxmlformats.org/officeDocument/2006/relationships/hyperlink" Target="https://www.senado.gob.ar/parlamentario/comisiones/verExp/424.25/S/PD" TargetMode="External"/><Relationship Id="rId39" Type="http://schemas.openxmlformats.org/officeDocument/2006/relationships/hyperlink" Target="https://www.senado.gob.ar/parlamentario/parlamentaria/ordenDelDiaResultadoLink/2025/411" TargetMode="External"/><Relationship Id="rId286" Type="http://schemas.openxmlformats.org/officeDocument/2006/relationships/hyperlink" Target="https://www.senado.gob.ar/parlamentario/comisiones/verExp/299.25/S/PC" TargetMode="External"/><Relationship Id="rId451" Type="http://schemas.openxmlformats.org/officeDocument/2006/relationships/hyperlink" Target="https://www.senado.gob.ar/parlamentario/comisiones/verExp/14.25/P/PP" TargetMode="External"/><Relationship Id="rId50" Type="http://schemas.openxmlformats.org/officeDocument/2006/relationships/hyperlink" Target="https://www.senado.gob.ar/parlamentario/comisiones/verExp/1002.25/S/PD" TargetMode="External"/><Relationship Id="rId104" Type="http://schemas.openxmlformats.org/officeDocument/2006/relationships/hyperlink" Target="https://www.senado.gob.ar/parlamentario/comisiones/verExp/817.25/S/PD" TargetMode="External"/><Relationship Id="rId146" Type="http://schemas.openxmlformats.org/officeDocument/2006/relationships/hyperlink" Target="https://www.senado.gob.ar/parlamentario/comisiones/verExp/681.25/S/PL" TargetMode="External"/><Relationship Id="rId188" Type="http://schemas.openxmlformats.org/officeDocument/2006/relationships/hyperlink" Target="https://www.senado.gob.ar/parlamentario/comisiones/verExp/576.25/S/PD" TargetMode="External"/><Relationship Id="rId311" Type="http://schemas.openxmlformats.org/officeDocument/2006/relationships/hyperlink" Target="https://www.senado.gob.ar/parlamentario/parlamentaria/ordenDelDiaResultadoLink/2025/539" TargetMode="External"/><Relationship Id="rId353" Type="http://schemas.openxmlformats.org/officeDocument/2006/relationships/hyperlink" Target="https://www.senado.gob.ar/parlamentario/parlamentaria/ordenDelDiaResultadoLink/2025/543" TargetMode="External"/><Relationship Id="rId395" Type="http://schemas.openxmlformats.org/officeDocument/2006/relationships/hyperlink" Target="https://www.senado.gob.ar/parlamentario/parlamentaria/ordenDelDiaResultadoLink/2026/24" TargetMode="External"/><Relationship Id="rId409" Type="http://schemas.openxmlformats.org/officeDocument/2006/relationships/hyperlink" Target="https://www.senado.gob.ar/parlamentario/comisiones/verExp/92.25/S/PD" TargetMode="External"/><Relationship Id="rId92" Type="http://schemas.openxmlformats.org/officeDocument/2006/relationships/hyperlink" Target="https://www.senado.gob.ar/parlamentario/comisiones/verExp/852.25/S/PD" TargetMode="External"/><Relationship Id="rId213" Type="http://schemas.openxmlformats.org/officeDocument/2006/relationships/hyperlink" Target="https://www.senado.gob.ar/parlamentario/parlamentaria/ordenDelDiaResultadoLink/2025/538" TargetMode="External"/><Relationship Id="rId420" Type="http://schemas.openxmlformats.org/officeDocument/2006/relationships/hyperlink" Target="https://www.senado.gob.ar/parlamentario/comisiones/verExp/75.25/S/PL" TargetMode="External"/><Relationship Id="rId255" Type="http://schemas.openxmlformats.org/officeDocument/2006/relationships/hyperlink" Target="https://www.senado.gob.ar/parlamentario/parlamentaria/ordenDelDiaResultadoLink/2025/231" TargetMode="External"/><Relationship Id="rId297" Type="http://schemas.openxmlformats.org/officeDocument/2006/relationships/hyperlink" Target="https://www.senado.gob.ar/parlamentario/comisiones/verExp/281.25/S/PD" TargetMode="External"/><Relationship Id="rId462" Type="http://schemas.openxmlformats.org/officeDocument/2006/relationships/hyperlink" Target="https://www.senado.gob.ar/parlamentario/comisiones/verExp/6.25/CD/PL" TargetMode="External"/><Relationship Id="rId115" Type="http://schemas.openxmlformats.org/officeDocument/2006/relationships/hyperlink" Target="https://www.senado.gob.ar/parlamentario/comisiones/verExp/782.25/S/PD" TargetMode="External"/><Relationship Id="rId157" Type="http://schemas.openxmlformats.org/officeDocument/2006/relationships/hyperlink" Target="https://www.senado.gob.ar/parlamentario/comisiones/verExp/659.25/S/PD" TargetMode="External"/><Relationship Id="rId322" Type="http://schemas.openxmlformats.org/officeDocument/2006/relationships/hyperlink" Target="https://www.senado.gob.ar/parlamentario/comisiones/verExp/225.25/S/PD" TargetMode="External"/><Relationship Id="rId364" Type="http://schemas.openxmlformats.org/officeDocument/2006/relationships/hyperlink" Target="https://www.senado.gob.ar/parlamentario/comisiones/verExp/160.25/S/P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M164"/>
  <sheetViews>
    <sheetView tabSelected="1" workbookViewId="0">
      <selection activeCell="AM5" sqref="AM5"/>
    </sheetView>
  </sheetViews>
  <sheetFormatPr baseColWidth="10" defaultRowHeight="15" x14ac:dyDescent="0.25"/>
  <cols>
    <col min="1" max="26" width="40" customWidth="1"/>
    <col min="27" max="256" width="9.140625" customWidth="1"/>
  </cols>
  <sheetData>
    <row r="1" spans="1:39" x14ac:dyDescent="0.25">
      <c r="D1" s="2" t="s">
        <v>0</v>
      </c>
    </row>
    <row r="2" spans="1:39" x14ac:dyDescent="0.25">
      <c r="D2" s="3" t="s">
        <v>1</v>
      </c>
    </row>
    <row r="3" spans="1:39" x14ac:dyDescent="0.25">
      <c r="D3" s="4" t="s">
        <v>2</v>
      </c>
    </row>
    <row r="5" spans="1:39" x14ac:dyDescent="0.25">
      <c r="A5" s="1" t="s">
        <v>3</v>
      </c>
      <c r="B5" s="1" t="s">
        <v>4</v>
      </c>
      <c r="C5" s="1" t="s">
        <v>5</v>
      </c>
      <c r="D5" s="1" t="s">
        <v>6</v>
      </c>
      <c r="E5" s="1" t="s">
        <v>7</v>
      </c>
      <c r="F5" s="1" t="s">
        <v>8</v>
      </c>
      <c r="G5" s="1" t="s">
        <v>9</v>
      </c>
      <c r="H5" s="1" t="s">
        <v>10</v>
      </c>
      <c r="I5" s="1" t="s">
        <v>11</v>
      </c>
      <c r="J5" s="1" t="s">
        <v>12</v>
      </c>
      <c r="K5" s="1" t="s">
        <v>13</v>
      </c>
      <c r="L5" s="1" t="s">
        <v>14</v>
      </c>
      <c r="M5" s="1" t="s">
        <v>15</v>
      </c>
      <c r="N5" s="1" t="s">
        <v>16</v>
      </c>
      <c r="O5" s="1" t="s">
        <v>17</v>
      </c>
      <c r="P5" s="1" t="s">
        <v>18</v>
      </c>
      <c r="Q5" s="1" t="s">
        <v>19</v>
      </c>
      <c r="R5" s="1" t="s">
        <v>20</v>
      </c>
      <c r="S5" s="1" t="s">
        <v>21</v>
      </c>
      <c r="T5" s="1" t="s">
        <v>22</v>
      </c>
      <c r="U5" s="1" t="s">
        <v>23</v>
      </c>
      <c r="V5" s="1" t="s">
        <v>24</v>
      </c>
      <c r="W5" s="1" t="s">
        <v>25</v>
      </c>
      <c r="X5" s="1" t="s">
        <v>26</v>
      </c>
      <c r="Y5" s="1" t="s">
        <v>27</v>
      </c>
      <c r="Z5" s="1" t="s">
        <v>28</v>
      </c>
      <c r="AA5" s="1" t="s">
        <v>29</v>
      </c>
      <c r="AB5" s="1" t="s">
        <v>30</v>
      </c>
      <c r="AC5" s="1" t="s">
        <v>31</v>
      </c>
      <c r="AD5" s="1" t="s">
        <v>32</v>
      </c>
      <c r="AE5" s="1" t="s">
        <v>33</v>
      </c>
      <c r="AF5" s="1" t="s">
        <v>34</v>
      </c>
      <c r="AG5" s="1" t="s">
        <v>35</v>
      </c>
      <c r="AH5" s="1" t="s">
        <v>36</v>
      </c>
      <c r="AI5" s="1" t="s">
        <v>37</v>
      </c>
      <c r="AJ5" s="1" t="s">
        <v>38</v>
      </c>
      <c r="AK5" s="1" t="s">
        <v>39</v>
      </c>
      <c r="AL5" s="1" t="s">
        <v>40</v>
      </c>
      <c r="AM5" s="1" t="s">
        <v>41</v>
      </c>
    </row>
    <row r="7" spans="1:39" x14ac:dyDescent="0.25">
      <c r="A7" t="s">
        <v>42</v>
      </c>
      <c r="B7" t="str">
        <f>HYPERLINK("https://www.senado.gob.ar/parlamentario/comisiones/verExp/1431.25/S/PR","1431")</f>
        <v>1431</v>
      </c>
      <c r="C7" t="str">
        <f>HYPERLINK("https://www.senado.gob.ar/parlamentario/comisiones/verExp/1431.25/S/PR","2025")</f>
        <v>2025</v>
      </c>
      <c r="D7" t="s">
        <v>43</v>
      </c>
      <c r="E7" t="s">
        <v>44</v>
      </c>
      <c r="F7" t="s">
        <v>45</v>
      </c>
      <c r="H7" t="s">
        <v>46</v>
      </c>
      <c r="I7" t="s">
        <v>47</v>
      </c>
      <c r="K7" t="s">
        <v>48</v>
      </c>
      <c r="L7" t="s">
        <v>49</v>
      </c>
      <c r="N7" t="s">
        <v>50</v>
      </c>
      <c r="O7">
        <v>61</v>
      </c>
      <c r="P7" t="s">
        <v>51</v>
      </c>
      <c r="Q7" t="s">
        <v>52</v>
      </c>
      <c r="R7" t="s">
        <v>53</v>
      </c>
      <c r="AI7" t="str">
        <f>HYPERLINK("","")</f>
        <v/>
      </c>
      <c r="AJ7" t="s">
        <v>54</v>
      </c>
      <c r="AK7" t="s">
        <v>55</v>
      </c>
      <c r="AM7" t="s">
        <v>46</v>
      </c>
    </row>
    <row r="8" spans="1:39" x14ac:dyDescent="0.25">
      <c r="A8" t="s">
        <v>42</v>
      </c>
      <c r="B8" t="str">
        <f>HYPERLINK("https://www.senado.gob.ar/parlamentario/comisiones/verExp/1318.25/S/PL","1318")</f>
        <v>1318</v>
      </c>
      <c r="C8" t="str">
        <f>HYPERLINK("https://www.senado.gob.ar/parlamentario/comisiones/verExp/1318.25/S/PL","2025")</f>
        <v>2025</v>
      </c>
      <c r="D8" t="s">
        <v>56</v>
      </c>
      <c r="E8" t="s">
        <v>57</v>
      </c>
      <c r="F8" t="s">
        <v>58</v>
      </c>
      <c r="I8" t="s">
        <v>59</v>
      </c>
      <c r="K8" t="s">
        <v>60</v>
      </c>
      <c r="L8" t="s">
        <v>61</v>
      </c>
      <c r="N8" t="s">
        <v>62</v>
      </c>
      <c r="O8">
        <v>50</v>
      </c>
      <c r="P8" t="s">
        <v>63</v>
      </c>
      <c r="Q8" t="s">
        <v>64</v>
      </c>
      <c r="R8" t="s">
        <v>65</v>
      </c>
      <c r="S8">
        <v>50</v>
      </c>
      <c r="T8" t="s">
        <v>63</v>
      </c>
      <c r="U8" t="s">
        <v>66</v>
      </c>
      <c r="V8" t="s">
        <v>67</v>
      </c>
      <c r="W8">
        <v>50</v>
      </c>
      <c r="X8" t="s">
        <v>63</v>
      </c>
      <c r="Y8" t="s">
        <v>68</v>
      </c>
      <c r="AI8" t="str">
        <f>HYPERLINK("https://www.senado.gob.ar/parlamentario/parlamentaria/ordenDelDiaResultadoLink/2025/428"," 428 2025 AP - 670 2025 RB -")</f>
        <v xml:space="preserve"> 428 2025 AP - 670 2025 RB -</v>
      </c>
      <c r="AJ8" t="s">
        <v>69</v>
      </c>
      <c r="AK8" t="s">
        <v>55</v>
      </c>
    </row>
    <row r="9" spans="1:39" x14ac:dyDescent="0.25">
      <c r="A9" t="s">
        <v>42</v>
      </c>
      <c r="B9" t="str">
        <f>HYPERLINK("https://www.senado.gob.ar/parlamentario/comisiones/verExp/1309.25/S/PD","1309")</f>
        <v>1309</v>
      </c>
      <c r="C9" t="str">
        <f>HYPERLINK("https://www.senado.gob.ar/parlamentario/comisiones/verExp/1309.25/S/PD","2025")</f>
        <v>2025</v>
      </c>
      <c r="D9" t="s">
        <v>70</v>
      </c>
      <c r="E9" t="s">
        <v>71</v>
      </c>
      <c r="F9" t="s">
        <v>72</v>
      </c>
      <c r="H9" t="s">
        <v>73</v>
      </c>
      <c r="I9" t="s">
        <v>74</v>
      </c>
      <c r="K9" t="s">
        <v>75</v>
      </c>
      <c r="L9" t="s">
        <v>76</v>
      </c>
      <c r="N9" t="s">
        <v>77</v>
      </c>
      <c r="O9">
        <v>74</v>
      </c>
      <c r="P9" t="s">
        <v>78</v>
      </c>
      <c r="Q9" t="s">
        <v>64</v>
      </c>
      <c r="R9" t="s">
        <v>79</v>
      </c>
      <c r="AI9" t="str">
        <f>HYPERLINK("https://www.senado.gob.ar/parlamentario/parlamentaria/ordenDelDiaResultadoLink/2025/418"," 418 2025 AP -")</f>
        <v xml:space="preserve"> 418 2025 AP -</v>
      </c>
      <c r="AJ9" t="s">
        <v>80</v>
      </c>
      <c r="AK9" t="s">
        <v>55</v>
      </c>
      <c r="AM9" t="s">
        <v>73</v>
      </c>
    </row>
    <row r="10" spans="1:39" x14ac:dyDescent="0.25">
      <c r="A10" t="s">
        <v>42</v>
      </c>
      <c r="B10" t="str">
        <f>HYPERLINK("https://www.senado.gob.ar/parlamentario/comisiones/verExp/1282.25/S/PD","1282")</f>
        <v>1282</v>
      </c>
      <c r="C10" t="str">
        <f>HYPERLINK("https://www.senado.gob.ar/parlamentario/comisiones/verExp/1282.25/S/PD","2025")</f>
        <v>2025</v>
      </c>
      <c r="D10" t="s">
        <v>70</v>
      </c>
      <c r="E10" t="s">
        <v>81</v>
      </c>
      <c r="F10" t="s">
        <v>82</v>
      </c>
      <c r="H10" t="s">
        <v>73</v>
      </c>
      <c r="I10" t="s">
        <v>83</v>
      </c>
      <c r="K10" t="s">
        <v>75</v>
      </c>
      <c r="L10" t="s">
        <v>76</v>
      </c>
      <c r="N10" t="s">
        <v>84</v>
      </c>
      <c r="O10">
        <v>74</v>
      </c>
      <c r="P10" t="s">
        <v>78</v>
      </c>
      <c r="Q10" t="s">
        <v>64</v>
      </c>
      <c r="R10" t="s">
        <v>79</v>
      </c>
      <c r="AI10" t="str">
        <f>HYPERLINK("https://www.senado.gob.ar/parlamentario/parlamentaria/ordenDelDiaResultadoLink/2025/414"," 414 2025 AP -")</f>
        <v xml:space="preserve"> 414 2025 AP -</v>
      </c>
      <c r="AJ10" t="s">
        <v>80</v>
      </c>
      <c r="AK10" t="s">
        <v>55</v>
      </c>
      <c r="AM10" t="s">
        <v>73</v>
      </c>
    </row>
    <row r="11" spans="1:39" x14ac:dyDescent="0.25">
      <c r="A11" t="s">
        <v>42</v>
      </c>
      <c r="B11" t="str">
        <f>HYPERLINK("https://www.senado.gob.ar/parlamentario/comisiones/verExp/1168.25/S/PL","1168")</f>
        <v>1168</v>
      </c>
      <c r="C11" t="str">
        <f>HYPERLINK("https://www.senado.gob.ar/parlamentario/comisiones/verExp/1168.25/S/PL","2025")</f>
        <v>2025</v>
      </c>
      <c r="D11" t="s">
        <v>56</v>
      </c>
      <c r="E11" t="s">
        <v>85</v>
      </c>
      <c r="F11" t="s">
        <v>86</v>
      </c>
      <c r="I11" t="s">
        <v>87</v>
      </c>
      <c r="K11" t="s">
        <v>48</v>
      </c>
      <c r="L11" t="s">
        <v>88</v>
      </c>
      <c r="N11" t="s">
        <v>89</v>
      </c>
      <c r="O11">
        <v>54</v>
      </c>
      <c r="P11" t="s">
        <v>90</v>
      </c>
      <c r="Q11" t="s">
        <v>91</v>
      </c>
      <c r="R11" t="s">
        <v>92</v>
      </c>
      <c r="S11">
        <v>72</v>
      </c>
      <c r="T11" t="s">
        <v>93</v>
      </c>
      <c r="U11" t="s">
        <v>91</v>
      </c>
      <c r="V11" t="s">
        <v>92</v>
      </c>
      <c r="AI11" t="str">
        <f>HYPERLINK("","")</f>
        <v/>
      </c>
      <c r="AJ11" t="s">
        <v>94</v>
      </c>
      <c r="AK11" t="s">
        <v>95</v>
      </c>
    </row>
    <row r="12" spans="1:39" x14ac:dyDescent="0.25">
      <c r="A12" t="s">
        <v>42</v>
      </c>
      <c r="B12" t="str">
        <f>HYPERLINK("https://www.senado.gob.ar/parlamentario/comisiones/verExp/1167.25/S/PL","1167")</f>
        <v>1167</v>
      </c>
      <c r="C12" t="str">
        <f>HYPERLINK("https://www.senado.gob.ar/parlamentario/comisiones/verExp/1167.25/S/PL","2025")</f>
        <v>2025</v>
      </c>
      <c r="D12" t="s">
        <v>56</v>
      </c>
      <c r="E12" t="s">
        <v>96</v>
      </c>
      <c r="F12" t="s">
        <v>86</v>
      </c>
      <c r="I12" t="s">
        <v>87</v>
      </c>
      <c r="K12" t="s">
        <v>48</v>
      </c>
      <c r="L12" t="s">
        <v>88</v>
      </c>
      <c r="N12" t="s">
        <v>97</v>
      </c>
      <c r="O12">
        <v>54</v>
      </c>
      <c r="P12" t="s">
        <v>90</v>
      </c>
      <c r="Q12" t="s">
        <v>91</v>
      </c>
      <c r="R12" t="s">
        <v>92</v>
      </c>
      <c r="S12">
        <v>72</v>
      </c>
      <c r="T12" t="s">
        <v>93</v>
      </c>
      <c r="U12" t="s">
        <v>91</v>
      </c>
      <c r="V12" t="s">
        <v>92</v>
      </c>
      <c r="AI12" t="str">
        <f>HYPERLINK("","")</f>
        <v/>
      </c>
      <c r="AJ12" t="s">
        <v>98</v>
      </c>
      <c r="AK12" t="s">
        <v>55</v>
      </c>
    </row>
    <row r="13" spans="1:39" x14ac:dyDescent="0.25">
      <c r="A13" t="s">
        <v>42</v>
      </c>
      <c r="B13" t="str">
        <f>HYPERLINK("https://www.senado.gob.ar/parlamentario/comisiones/verExp/1161.25/S/PD","1161")</f>
        <v>1161</v>
      </c>
      <c r="C13" t="str">
        <f>HYPERLINK("https://www.senado.gob.ar/parlamentario/comisiones/verExp/1161.25/S/PD","2025")</f>
        <v>2025</v>
      </c>
      <c r="D13" t="s">
        <v>70</v>
      </c>
      <c r="E13" t="s">
        <v>99</v>
      </c>
      <c r="F13" t="s">
        <v>100</v>
      </c>
      <c r="H13" t="s">
        <v>73</v>
      </c>
      <c r="I13" t="s">
        <v>87</v>
      </c>
      <c r="K13" t="s">
        <v>101</v>
      </c>
      <c r="L13" t="s">
        <v>88</v>
      </c>
      <c r="N13" t="s">
        <v>102</v>
      </c>
      <c r="O13">
        <v>76</v>
      </c>
      <c r="P13" t="s">
        <v>103</v>
      </c>
      <c r="Q13" t="s">
        <v>91</v>
      </c>
      <c r="R13" t="s">
        <v>104</v>
      </c>
      <c r="AI13" t="str">
        <f>HYPERLINK("https://www.senado.gob.ar/parlamentario/parlamentaria/ordenDelDiaResultadoLink/2025/378"," 378 2025 AP -")</f>
        <v xml:space="preserve"> 378 2025 AP -</v>
      </c>
      <c r="AJ13" t="s">
        <v>80</v>
      </c>
      <c r="AK13" t="s">
        <v>55</v>
      </c>
      <c r="AM13" t="s">
        <v>73</v>
      </c>
    </row>
    <row r="14" spans="1:39" x14ac:dyDescent="0.25">
      <c r="A14" t="s">
        <v>42</v>
      </c>
      <c r="B14" t="str">
        <f>HYPERLINK("https://www.senado.gob.ar/parlamentario/comisiones/verExp/1151.25/S/PD","1151")</f>
        <v>1151</v>
      </c>
      <c r="C14" t="str">
        <f>HYPERLINK("https://www.senado.gob.ar/parlamentario/comisiones/verExp/1151.25/S/PD","2025")</f>
        <v>2025</v>
      </c>
      <c r="D14" t="s">
        <v>70</v>
      </c>
      <c r="E14" t="s">
        <v>105</v>
      </c>
      <c r="F14" t="s">
        <v>100</v>
      </c>
      <c r="H14" t="s">
        <v>73</v>
      </c>
      <c r="I14" t="s">
        <v>87</v>
      </c>
      <c r="K14" t="s">
        <v>75</v>
      </c>
      <c r="L14" t="s">
        <v>88</v>
      </c>
      <c r="N14" t="s">
        <v>106</v>
      </c>
      <c r="O14">
        <v>74</v>
      </c>
      <c r="P14" t="s">
        <v>78</v>
      </c>
      <c r="Q14" t="s">
        <v>91</v>
      </c>
      <c r="R14" t="s">
        <v>79</v>
      </c>
      <c r="AI14" t="str">
        <f>HYPERLINK("https://www.senado.gob.ar/parlamentario/parlamentaria/ordenDelDiaResultadoLink/2025/411"," 411 2025 AP -")</f>
        <v xml:space="preserve"> 411 2025 AP -</v>
      </c>
      <c r="AJ14" t="s">
        <v>80</v>
      </c>
      <c r="AK14" t="s">
        <v>55</v>
      </c>
      <c r="AM14" t="s">
        <v>73</v>
      </c>
    </row>
    <row r="15" spans="1:39" x14ac:dyDescent="0.25">
      <c r="A15" t="s">
        <v>42</v>
      </c>
      <c r="B15" t="str">
        <f>HYPERLINK("https://www.senado.gob.ar/parlamentario/comisiones/verExp/1138.25/S/PD","1138")</f>
        <v>1138</v>
      </c>
      <c r="C15" t="str">
        <f>HYPERLINK("https://www.senado.gob.ar/parlamentario/comisiones/verExp/1138.25/S/PD","2025")</f>
        <v>2025</v>
      </c>
      <c r="D15" t="s">
        <v>70</v>
      </c>
      <c r="E15" t="s">
        <v>107</v>
      </c>
      <c r="F15" t="s">
        <v>108</v>
      </c>
      <c r="H15" t="s">
        <v>73</v>
      </c>
      <c r="I15" t="s">
        <v>109</v>
      </c>
      <c r="K15" t="s">
        <v>75</v>
      </c>
      <c r="L15" t="s">
        <v>88</v>
      </c>
      <c r="N15" t="s">
        <v>110</v>
      </c>
      <c r="O15">
        <v>74</v>
      </c>
      <c r="P15" t="s">
        <v>78</v>
      </c>
      <c r="Q15" t="s">
        <v>91</v>
      </c>
      <c r="R15" t="s">
        <v>79</v>
      </c>
      <c r="AI15" t="str">
        <f>HYPERLINK("https://www.senado.gob.ar/parlamentario/parlamentaria/ordenDelDiaResultadoLink/2025/409"," 409 2025 AP -")</f>
        <v xml:space="preserve"> 409 2025 AP -</v>
      </c>
      <c r="AJ15" t="s">
        <v>80</v>
      </c>
      <c r="AK15" t="s">
        <v>55</v>
      </c>
      <c r="AM15" t="s">
        <v>73</v>
      </c>
    </row>
    <row r="16" spans="1:39" x14ac:dyDescent="0.25">
      <c r="A16" t="s">
        <v>42</v>
      </c>
      <c r="B16" t="str">
        <f>HYPERLINK("https://www.senado.gob.ar/parlamentario/comisiones/verExp/1067.25/S/PD","1067")</f>
        <v>1067</v>
      </c>
      <c r="C16" t="str">
        <f>HYPERLINK("https://www.senado.gob.ar/parlamentario/comisiones/verExp/1067.25/S/PD","2025")</f>
        <v>2025</v>
      </c>
      <c r="D16" t="s">
        <v>70</v>
      </c>
      <c r="E16" t="s">
        <v>111</v>
      </c>
      <c r="F16" t="s">
        <v>112</v>
      </c>
      <c r="H16" t="s">
        <v>73</v>
      </c>
      <c r="I16" t="s">
        <v>113</v>
      </c>
      <c r="K16" t="s">
        <v>75</v>
      </c>
      <c r="L16" t="s">
        <v>109</v>
      </c>
      <c r="N16" t="s">
        <v>114</v>
      </c>
      <c r="O16">
        <v>74</v>
      </c>
      <c r="P16" t="s">
        <v>78</v>
      </c>
      <c r="Q16" t="s">
        <v>115</v>
      </c>
      <c r="R16" t="s">
        <v>79</v>
      </c>
      <c r="AI16" t="str">
        <f>HYPERLINK("https://www.senado.gob.ar/parlamentario/parlamentaria/ordenDelDiaResultadoLink/2025/410"," 410 2025 AP -")</f>
        <v xml:space="preserve"> 410 2025 AP -</v>
      </c>
      <c r="AJ16" t="s">
        <v>80</v>
      </c>
      <c r="AK16" t="s">
        <v>55</v>
      </c>
      <c r="AM16" t="s">
        <v>73</v>
      </c>
    </row>
    <row r="17" spans="1:39" x14ac:dyDescent="0.25">
      <c r="A17" t="s">
        <v>42</v>
      </c>
      <c r="B17" t="str">
        <f>HYPERLINK("https://www.senado.gob.ar/parlamentario/comisiones/verExp/1058.25/S/PD","1058")</f>
        <v>1058</v>
      </c>
      <c r="C17" t="str">
        <f>HYPERLINK("https://www.senado.gob.ar/parlamentario/comisiones/verExp/1058.25/S/PD","2025")</f>
        <v>2025</v>
      </c>
      <c r="D17" t="s">
        <v>70</v>
      </c>
      <c r="E17" t="s">
        <v>116</v>
      </c>
      <c r="F17" t="s">
        <v>117</v>
      </c>
      <c r="H17" t="s">
        <v>73</v>
      </c>
      <c r="I17" t="s">
        <v>118</v>
      </c>
      <c r="K17" t="s">
        <v>101</v>
      </c>
      <c r="L17" t="s">
        <v>113</v>
      </c>
      <c r="N17" t="s">
        <v>119</v>
      </c>
      <c r="O17">
        <v>76</v>
      </c>
      <c r="P17" t="s">
        <v>103</v>
      </c>
      <c r="Q17" t="s">
        <v>120</v>
      </c>
      <c r="R17" t="s">
        <v>104</v>
      </c>
      <c r="AI17" t="str">
        <f>HYPERLINK("https://www.senado.gob.ar/parlamentario/parlamentaria/ordenDelDiaResultadoLink/2025/404"," 404 2025 AP -")</f>
        <v xml:space="preserve"> 404 2025 AP -</v>
      </c>
      <c r="AJ17" t="s">
        <v>80</v>
      </c>
      <c r="AK17" t="s">
        <v>55</v>
      </c>
      <c r="AM17" t="s">
        <v>73</v>
      </c>
    </row>
    <row r="18" spans="1:39" x14ac:dyDescent="0.25">
      <c r="A18" t="s">
        <v>42</v>
      </c>
      <c r="B18" t="str">
        <f>HYPERLINK("https://www.senado.gob.ar/parlamentario/comisiones/verExp/1056.25/S/PD","1056")</f>
        <v>1056</v>
      </c>
      <c r="C18" t="str">
        <f>HYPERLINK("https://www.senado.gob.ar/parlamentario/comisiones/verExp/1056.25/S/PD","2025")</f>
        <v>2025</v>
      </c>
      <c r="D18" t="s">
        <v>70</v>
      </c>
      <c r="E18" t="s">
        <v>121</v>
      </c>
      <c r="F18" t="s">
        <v>117</v>
      </c>
      <c r="H18" t="s">
        <v>73</v>
      </c>
      <c r="I18" t="s">
        <v>122</v>
      </c>
      <c r="K18" t="s">
        <v>123</v>
      </c>
      <c r="L18" t="s">
        <v>122</v>
      </c>
      <c r="N18" t="s">
        <v>124</v>
      </c>
      <c r="O18">
        <v>77</v>
      </c>
      <c r="P18" t="s">
        <v>125</v>
      </c>
      <c r="Q18" t="s">
        <v>126</v>
      </c>
      <c r="R18" t="s">
        <v>127</v>
      </c>
      <c r="AI18" t="str">
        <f>HYPERLINK("https://www.senado.gob.ar/parlamentario/parlamentaria/ordenDelDiaResultadoLink/2025/544"," 544 2025 AP -")</f>
        <v xml:space="preserve"> 544 2025 AP -</v>
      </c>
      <c r="AJ18" t="s">
        <v>80</v>
      </c>
      <c r="AK18" t="s">
        <v>55</v>
      </c>
      <c r="AM18" t="s">
        <v>73</v>
      </c>
    </row>
    <row r="19" spans="1:39" x14ac:dyDescent="0.25">
      <c r="A19" t="s">
        <v>42</v>
      </c>
      <c r="B19" t="str">
        <f>HYPERLINK("https://www.senado.gob.ar/parlamentario/comisiones/verExp/1050.25/S/PD","1050")</f>
        <v>1050</v>
      </c>
      <c r="C19" t="str">
        <f>HYPERLINK("https://www.senado.gob.ar/parlamentario/comisiones/verExp/1050.25/S/PD","2025")</f>
        <v>2025</v>
      </c>
      <c r="D19" t="s">
        <v>70</v>
      </c>
      <c r="E19" t="s">
        <v>128</v>
      </c>
      <c r="F19" t="s">
        <v>117</v>
      </c>
      <c r="H19" t="s">
        <v>73</v>
      </c>
      <c r="I19" t="s">
        <v>122</v>
      </c>
      <c r="K19" t="s">
        <v>75</v>
      </c>
      <c r="L19" t="s">
        <v>122</v>
      </c>
      <c r="N19" t="s">
        <v>129</v>
      </c>
      <c r="O19">
        <v>74</v>
      </c>
      <c r="P19" t="s">
        <v>78</v>
      </c>
      <c r="Q19" t="s">
        <v>126</v>
      </c>
      <c r="R19" t="s">
        <v>79</v>
      </c>
      <c r="AI19" t="str">
        <f>HYPERLINK("https://www.senado.gob.ar/parlamentario/parlamentaria/ordenDelDiaResultadoLink/2025/413"," 413 2025 AP -")</f>
        <v xml:space="preserve"> 413 2025 AP -</v>
      </c>
      <c r="AJ19" t="s">
        <v>80</v>
      </c>
      <c r="AK19" t="s">
        <v>55</v>
      </c>
      <c r="AM19" t="s">
        <v>73</v>
      </c>
    </row>
    <row r="20" spans="1:39" x14ac:dyDescent="0.25">
      <c r="A20" t="s">
        <v>42</v>
      </c>
      <c r="B20" t="str">
        <f>HYPERLINK("https://www.senado.gob.ar/parlamentario/comisiones/verExp/1033.25/S/PD","1033")</f>
        <v>1033</v>
      </c>
      <c r="C20" t="str">
        <f>HYPERLINK("https://www.senado.gob.ar/parlamentario/comisiones/verExp/1033.25/S/PD","2025")</f>
        <v>2025</v>
      </c>
      <c r="D20" t="s">
        <v>70</v>
      </c>
      <c r="E20" t="s">
        <v>130</v>
      </c>
      <c r="F20" t="s">
        <v>131</v>
      </c>
      <c r="H20" t="s">
        <v>73</v>
      </c>
      <c r="I20" t="s">
        <v>132</v>
      </c>
      <c r="K20" t="s">
        <v>75</v>
      </c>
      <c r="L20" t="s">
        <v>122</v>
      </c>
      <c r="N20" t="s">
        <v>133</v>
      </c>
      <c r="O20">
        <v>74</v>
      </c>
      <c r="P20" t="s">
        <v>78</v>
      </c>
      <c r="Q20" t="s">
        <v>126</v>
      </c>
      <c r="R20" t="s">
        <v>79</v>
      </c>
      <c r="AI20" t="str">
        <f>HYPERLINK("https://www.senado.gob.ar/parlamentario/parlamentaria/ordenDelDiaResultadoLink/2025/411"," 411 2025 AP -")</f>
        <v xml:space="preserve"> 411 2025 AP -</v>
      </c>
      <c r="AJ20" t="s">
        <v>80</v>
      </c>
      <c r="AK20" t="s">
        <v>55</v>
      </c>
      <c r="AM20" t="s">
        <v>73</v>
      </c>
    </row>
    <row r="21" spans="1:39" x14ac:dyDescent="0.25">
      <c r="A21" t="s">
        <v>42</v>
      </c>
      <c r="B21" t="str">
        <f>HYPERLINK("https://www.senado.gob.ar/parlamentario/comisiones/verExp/1031.25/S/PD","1031")</f>
        <v>1031</v>
      </c>
      <c r="C21" t="str">
        <f>HYPERLINK("https://www.senado.gob.ar/parlamentario/comisiones/verExp/1031.25/S/PD","2025")</f>
        <v>2025</v>
      </c>
      <c r="D21" t="s">
        <v>70</v>
      </c>
      <c r="E21" t="s">
        <v>134</v>
      </c>
      <c r="F21" t="s">
        <v>131</v>
      </c>
      <c r="H21" t="s">
        <v>73</v>
      </c>
      <c r="I21" t="s">
        <v>132</v>
      </c>
      <c r="K21" t="s">
        <v>75</v>
      </c>
      <c r="L21" t="s">
        <v>122</v>
      </c>
      <c r="N21" t="s">
        <v>135</v>
      </c>
      <c r="O21">
        <v>74</v>
      </c>
      <c r="P21" t="s">
        <v>78</v>
      </c>
      <c r="Q21" t="s">
        <v>126</v>
      </c>
      <c r="R21" t="s">
        <v>79</v>
      </c>
      <c r="AI21" t="str">
        <f>HYPERLINK("https://www.senado.gob.ar/parlamentario/parlamentaria/ordenDelDiaResultadoLink/2025/416"," 416 2025 AP -")</f>
        <v xml:space="preserve"> 416 2025 AP -</v>
      </c>
      <c r="AJ21" t="s">
        <v>80</v>
      </c>
      <c r="AK21" t="s">
        <v>55</v>
      </c>
      <c r="AM21" t="s">
        <v>73</v>
      </c>
    </row>
    <row r="22" spans="1:39" x14ac:dyDescent="0.25">
      <c r="A22" t="s">
        <v>42</v>
      </c>
      <c r="B22" t="str">
        <f>HYPERLINK("https://www.senado.gob.ar/parlamentario/comisiones/verExp/1014.25/S/PD","1014")</f>
        <v>1014</v>
      </c>
      <c r="C22" t="str">
        <f>HYPERLINK("https://www.senado.gob.ar/parlamentario/comisiones/verExp/1014.25/S/PD","2025")</f>
        <v>2025</v>
      </c>
      <c r="D22" t="s">
        <v>70</v>
      </c>
      <c r="E22" t="s">
        <v>136</v>
      </c>
      <c r="F22" t="s">
        <v>137</v>
      </c>
      <c r="H22" t="s">
        <v>73</v>
      </c>
      <c r="I22" t="s">
        <v>138</v>
      </c>
      <c r="K22" t="s">
        <v>75</v>
      </c>
      <c r="L22" t="s">
        <v>122</v>
      </c>
      <c r="N22" t="s">
        <v>139</v>
      </c>
      <c r="O22">
        <v>74</v>
      </c>
      <c r="P22" t="s">
        <v>78</v>
      </c>
      <c r="Q22" t="s">
        <v>126</v>
      </c>
      <c r="R22" t="s">
        <v>79</v>
      </c>
      <c r="AI22" t="str">
        <f>HYPERLINK("https://www.senado.gob.ar/parlamentario/parlamentaria/ordenDelDiaResultadoLink/2025/411"," 411 2025 AP -")</f>
        <v xml:space="preserve"> 411 2025 AP -</v>
      </c>
      <c r="AJ22" t="s">
        <v>80</v>
      </c>
      <c r="AK22" t="s">
        <v>55</v>
      </c>
      <c r="AM22" t="s">
        <v>73</v>
      </c>
    </row>
    <row r="23" spans="1:39" x14ac:dyDescent="0.25">
      <c r="A23" t="s">
        <v>42</v>
      </c>
      <c r="B23" t="str">
        <f>HYPERLINK("https://www.senado.gob.ar/parlamentario/comisiones/verExp/1010.25/S/PD","1010")</f>
        <v>1010</v>
      </c>
      <c r="C23" t="str">
        <f>HYPERLINK("https://www.senado.gob.ar/parlamentario/comisiones/verExp/1010.25/S/PD","2025")</f>
        <v>2025</v>
      </c>
      <c r="D23" t="s">
        <v>70</v>
      </c>
      <c r="E23" t="s">
        <v>140</v>
      </c>
      <c r="F23" t="s">
        <v>137</v>
      </c>
      <c r="H23" t="s">
        <v>73</v>
      </c>
      <c r="I23" t="s">
        <v>141</v>
      </c>
      <c r="K23" t="s">
        <v>75</v>
      </c>
      <c r="L23" t="s">
        <v>122</v>
      </c>
      <c r="N23" t="s">
        <v>142</v>
      </c>
      <c r="O23">
        <v>74</v>
      </c>
      <c r="P23" t="s">
        <v>78</v>
      </c>
      <c r="Q23" t="s">
        <v>126</v>
      </c>
      <c r="R23" t="s">
        <v>79</v>
      </c>
      <c r="AI23" t="str">
        <f>HYPERLINK("https://www.senado.gob.ar/parlamentario/parlamentaria/ordenDelDiaResultadoLink/2025/411"," 411 2025 AP -")</f>
        <v xml:space="preserve"> 411 2025 AP -</v>
      </c>
      <c r="AJ23" t="s">
        <v>80</v>
      </c>
      <c r="AK23" t="s">
        <v>55</v>
      </c>
      <c r="AM23" t="s">
        <v>73</v>
      </c>
    </row>
    <row r="24" spans="1:39" x14ac:dyDescent="0.25">
      <c r="A24" t="s">
        <v>42</v>
      </c>
      <c r="B24" t="str">
        <f>HYPERLINK("https://www.senado.gob.ar/parlamentario/comisiones/verExp/1002.25/S/PD","1002")</f>
        <v>1002</v>
      </c>
      <c r="C24" t="str">
        <f>HYPERLINK("https://www.senado.gob.ar/parlamentario/comisiones/verExp/1002.25/S/PD","2025")</f>
        <v>2025</v>
      </c>
      <c r="D24" t="s">
        <v>70</v>
      </c>
      <c r="E24" t="s">
        <v>143</v>
      </c>
      <c r="F24" t="s">
        <v>144</v>
      </c>
      <c r="H24" t="s">
        <v>73</v>
      </c>
      <c r="I24" t="s">
        <v>145</v>
      </c>
      <c r="K24" t="s">
        <v>75</v>
      </c>
      <c r="L24" t="s">
        <v>122</v>
      </c>
      <c r="N24" t="s">
        <v>114</v>
      </c>
      <c r="O24">
        <v>74</v>
      </c>
      <c r="P24" t="s">
        <v>78</v>
      </c>
      <c r="Q24" t="s">
        <v>126</v>
      </c>
      <c r="R24" t="s">
        <v>79</v>
      </c>
      <c r="AI24" t="str">
        <f>HYPERLINK("https://www.senado.gob.ar/parlamentario/parlamentaria/ordenDelDiaResultadoLink/2025/411"," 411 2025 AP -")</f>
        <v xml:space="preserve"> 411 2025 AP -</v>
      </c>
      <c r="AJ24" t="s">
        <v>80</v>
      </c>
      <c r="AK24" t="s">
        <v>55</v>
      </c>
      <c r="AM24" t="s">
        <v>73</v>
      </c>
    </row>
    <row r="25" spans="1:39" x14ac:dyDescent="0.25">
      <c r="A25" t="s">
        <v>42</v>
      </c>
      <c r="B25" t="str">
        <f>HYPERLINK("https://www.senado.gob.ar/parlamentario/comisiones/verExp/986.25/S/PD","986")</f>
        <v>986</v>
      </c>
      <c r="C25" t="str">
        <f>HYPERLINK("https://www.senado.gob.ar/parlamentario/comisiones/verExp/986.25/S/PD","2025")</f>
        <v>2025</v>
      </c>
      <c r="D25" t="s">
        <v>70</v>
      </c>
      <c r="E25" t="s">
        <v>146</v>
      </c>
      <c r="F25" t="s">
        <v>147</v>
      </c>
      <c r="H25" t="s">
        <v>73</v>
      </c>
      <c r="I25" t="s">
        <v>148</v>
      </c>
      <c r="K25" t="s">
        <v>123</v>
      </c>
      <c r="L25" t="s">
        <v>149</v>
      </c>
      <c r="N25" t="s">
        <v>110</v>
      </c>
      <c r="O25">
        <v>77</v>
      </c>
      <c r="P25" t="s">
        <v>125</v>
      </c>
      <c r="Q25" t="s">
        <v>150</v>
      </c>
      <c r="R25" t="s">
        <v>127</v>
      </c>
      <c r="AI25" t="str">
        <f>HYPERLINK("https://www.senado.gob.ar/parlamentario/parlamentaria/ordenDelDiaResultadoLink/2025/537"," 537 2025 AP -")</f>
        <v xml:space="preserve"> 537 2025 AP -</v>
      </c>
      <c r="AJ25" t="s">
        <v>80</v>
      </c>
      <c r="AK25" t="s">
        <v>55</v>
      </c>
      <c r="AM25" t="s">
        <v>73</v>
      </c>
    </row>
    <row r="26" spans="1:39" x14ac:dyDescent="0.25">
      <c r="A26" t="s">
        <v>42</v>
      </c>
      <c r="B26" t="str">
        <f>HYPERLINK("https://www.senado.gob.ar/parlamentario/comisiones/verExp/985.25/S/PD","985")</f>
        <v>985</v>
      </c>
      <c r="C26" t="str">
        <f>HYPERLINK("https://www.senado.gob.ar/parlamentario/comisiones/verExp/985.25/S/PD","2025")</f>
        <v>2025</v>
      </c>
      <c r="D26" t="s">
        <v>70</v>
      </c>
      <c r="E26" t="s">
        <v>151</v>
      </c>
      <c r="F26" t="s">
        <v>147</v>
      </c>
      <c r="H26" t="s">
        <v>73</v>
      </c>
      <c r="I26" t="s">
        <v>148</v>
      </c>
      <c r="K26" t="s">
        <v>123</v>
      </c>
      <c r="L26" t="s">
        <v>149</v>
      </c>
      <c r="N26" t="s">
        <v>110</v>
      </c>
      <c r="O26">
        <v>77</v>
      </c>
      <c r="P26" t="s">
        <v>125</v>
      </c>
      <c r="Q26" t="s">
        <v>150</v>
      </c>
      <c r="R26" t="s">
        <v>127</v>
      </c>
      <c r="AI26" t="str">
        <f>HYPERLINK("https://www.senado.gob.ar/parlamentario/parlamentaria/ordenDelDiaResultadoLink/2025/547"," 547 2025 AP -")</f>
        <v xml:space="preserve"> 547 2025 AP -</v>
      </c>
      <c r="AJ26" t="s">
        <v>80</v>
      </c>
      <c r="AK26" t="s">
        <v>55</v>
      </c>
      <c r="AM26" t="s">
        <v>73</v>
      </c>
    </row>
    <row r="27" spans="1:39" x14ac:dyDescent="0.25">
      <c r="A27" t="s">
        <v>42</v>
      </c>
      <c r="B27" t="str">
        <f>HYPERLINK("https://www.senado.gob.ar/parlamentario/comisiones/verExp/981.25/S/PD","981")</f>
        <v>981</v>
      </c>
      <c r="C27" t="str">
        <f>HYPERLINK("https://www.senado.gob.ar/parlamentario/comisiones/verExp/981.25/S/PD","2025")</f>
        <v>2025</v>
      </c>
      <c r="D27" t="s">
        <v>70</v>
      </c>
      <c r="E27" t="s">
        <v>152</v>
      </c>
      <c r="F27" t="s">
        <v>147</v>
      </c>
      <c r="H27" t="s">
        <v>73</v>
      </c>
      <c r="I27" t="s">
        <v>148</v>
      </c>
      <c r="K27" t="s">
        <v>123</v>
      </c>
      <c r="L27" t="s">
        <v>149</v>
      </c>
      <c r="N27" t="s">
        <v>110</v>
      </c>
      <c r="O27">
        <v>77</v>
      </c>
      <c r="P27" t="s">
        <v>125</v>
      </c>
      <c r="Q27" t="s">
        <v>150</v>
      </c>
      <c r="R27" t="s">
        <v>127</v>
      </c>
      <c r="AI27" t="str">
        <f>HYPERLINK("https://www.senado.gob.ar/parlamentario/parlamentaria/ordenDelDiaResultadoLink/2025/546"," 546 2025 AP -")</f>
        <v xml:space="preserve"> 546 2025 AP -</v>
      </c>
      <c r="AJ27" t="s">
        <v>80</v>
      </c>
      <c r="AK27" t="s">
        <v>55</v>
      </c>
      <c r="AM27" t="s">
        <v>73</v>
      </c>
    </row>
    <row r="28" spans="1:39" x14ac:dyDescent="0.25">
      <c r="A28" t="s">
        <v>42</v>
      </c>
      <c r="B28" t="str">
        <f>HYPERLINK("https://www.senado.gob.ar/parlamentario/comisiones/verExp/977.25/S/PD","977")</f>
        <v>977</v>
      </c>
      <c r="C28" t="str">
        <f>HYPERLINK("https://www.senado.gob.ar/parlamentario/comisiones/verExp/977.25/S/PD","2025")</f>
        <v>2025</v>
      </c>
      <c r="D28" t="s">
        <v>70</v>
      </c>
      <c r="E28" t="s">
        <v>153</v>
      </c>
      <c r="F28" t="s">
        <v>147</v>
      </c>
      <c r="H28" t="s">
        <v>73</v>
      </c>
      <c r="I28" t="s">
        <v>148</v>
      </c>
      <c r="K28" t="s">
        <v>123</v>
      </c>
      <c r="L28" t="s">
        <v>149</v>
      </c>
      <c r="N28" t="s">
        <v>110</v>
      </c>
      <c r="O28">
        <v>77</v>
      </c>
      <c r="P28" t="s">
        <v>125</v>
      </c>
      <c r="Q28" t="s">
        <v>150</v>
      </c>
      <c r="R28" t="s">
        <v>127</v>
      </c>
      <c r="AI28" t="str">
        <f>HYPERLINK("https://www.senado.gob.ar/parlamentario/parlamentaria/ordenDelDiaResultadoLink/2025/545"," 545 2025 AP -")</f>
        <v xml:space="preserve"> 545 2025 AP -</v>
      </c>
      <c r="AJ28" t="s">
        <v>80</v>
      </c>
      <c r="AK28" t="s">
        <v>55</v>
      </c>
      <c r="AM28" t="s">
        <v>73</v>
      </c>
    </row>
    <row r="29" spans="1:39" x14ac:dyDescent="0.25">
      <c r="A29" t="s">
        <v>42</v>
      </c>
      <c r="B29" t="str">
        <f>HYPERLINK("https://www.senado.gob.ar/parlamentario/comisiones/verExp/974.25/S/PD","974")</f>
        <v>974</v>
      </c>
      <c r="C29" t="str">
        <f>HYPERLINK("https://www.senado.gob.ar/parlamentario/comisiones/verExp/974.25/S/PD","2025")</f>
        <v>2025</v>
      </c>
      <c r="D29" t="s">
        <v>70</v>
      </c>
      <c r="E29" t="s">
        <v>154</v>
      </c>
      <c r="F29" t="s">
        <v>147</v>
      </c>
      <c r="H29" t="s">
        <v>73</v>
      </c>
      <c r="I29" t="s">
        <v>148</v>
      </c>
      <c r="K29" t="s">
        <v>123</v>
      </c>
      <c r="L29" t="s">
        <v>149</v>
      </c>
      <c r="N29" t="s">
        <v>110</v>
      </c>
      <c r="O29">
        <v>77</v>
      </c>
      <c r="P29" t="s">
        <v>125</v>
      </c>
      <c r="Q29" t="s">
        <v>150</v>
      </c>
      <c r="R29" t="s">
        <v>127</v>
      </c>
      <c r="AI29" t="str">
        <f>HYPERLINK("https://www.senado.gob.ar/parlamentario/parlamentaria/ordenDelDiaResultadoLink/2025/540"," 540 2025 AP -")</f>
        <v xml:space="preserve"> 540 2025 AP -</v>
      </c>
      <c r="AJ29" t="s">
        <v>80</v>
      </c>
      <c r="AK29" t="s">
        <v>55</v>
      </c>
      <c r="AM29" t="s">
        <v>73</v>
      </c>
    </row>
    <row r="30" spans="1:39" x14ac:dyDescent="0.25">
      <c r="A30" t="s">
        <v>42</v>
      </c>
      <c r="B30" t="str">
        <f>HYPERLINK("https://www.senado.gob.ar/parlamentario/comisiones/verExp/930.25/S/PD","930")</f>
        <v>930</v>
      </c>
      <c r="C30" t="str">
        <f>HYPERLINK("https://www.senado.gob.ar/parlamentario/comisiones/verExp/930.25/S/PD","2025")</f>
        <v>2025</v>
      </c>
      <c r="D30" t="s">
        <v>70</v>
      </c>
      <c r="E30" t="s">
        <v>155</v>
      </c>
      <c r="F30" t="s">
        <v>156</v>
      </c>
      <c r="H30" t="s">
        <v>73</v>
      </c>
      <c r="I30" t="s">
        <v>157</v>
      </c>
      <c r="K30" t="s">
        <v>101</v>
      </c>
      <c r="L30" t="s">
        <v>149</v>
      </c>
      <c r="N30" t="s">
        <v>158</v>
      </c>
      <c r="O30">
        <v>76</v>
      </c>
      <c r="P30" t="s">
        <v>103</v>
      </c>
      <c r="Q30" t="s">
        <v>150</v>
      </c>
      <c r="R30" t="s">
        <v>104</v>
      </c>
      <c r="AI30" t="str">
        <f>HYPERLINK("https://www.senado.gob.ar/parlamentario/parlamentaria/ordenDelDiaResultadoLink/2025/403"," 403 2025 AP -")</f>
        <v xml:space="preserve"> 403 2025 AP -</v>
      </c>
      <c r="AJ30" t="s">
        <v>80</v>
      </c>
      <c r="AK30" t="s">
        <v>55</v>
      </c>
      <c r="AM30" t="s">
        <v>73</v>
      </c>
    </row>
    <row r="31" spans="1:39" x14ac:dyDescent="0.25">
      <c r="A31" t="s">
        <v>42</v>
      </c>
      <c r="B31" t="str">
        <f>HYPERLINK("https://www.senado.gob.ar/parlamentario/comisiones/verExp/899.25/S/PD","899")</f>
        <v>899</v>
      </c>
      <c r="C31" t="str">
        <f>HYPERLINK("https://www.senado.gob.ar/parlamentario/comisiones/verExp/899.25/S/PD","2025")</f>
        <v>2025</v>
      </c>
      <c r="D31" t="s">
        <v>70</v>
      </c>
      <c r="E31" t="s">
        <v>159</v>
      </c>
      <c r="F31" t="s">
        <v>160</v>
      </c>
      <c r="H31" t="s">
        <v>73</v>
      </c>
      <c r="I31" t="s">
        <v>161</v>
      </c>
      <c r="K31" t="s">
        <v>101</v>
      </c>
      <c r="L31" t="s">
        <v>149</v>
      </c>
      <c r="N31" t="s">
        <v>162</v>
      </c>
      <c r="O31">
        <v>76</v>
      </c>
      <c r="P31" t="s">
        <v>103</v>
      </c>
      <c r="Q31" t="s">
        <v>150</v>
      </c>
      <c r="R31" t="s">
        <v>104</v>
      </c>
      <c r="AI31" t="str">
        <f>HYPERLINK("https://www.senado.gob.ar/parlamentario/parlamentaria/ordenDelDiaResultadoLink/2025/403"," 403 2025 AP -")</f>
        <v xml:space="preserve"> 403 2025 AP -</v>
      </c>
      <c r="AJ31" t="s">
        <v>80</v>
      </c>
      <c r="AK31" t="s">
        <v>55</v>
      </c>
      <c r="AM31" t="s">
        <v>73</v>
      </c>
    </row>
    <row r="32" spans="1:39" x14ac:dyDescent="0.25">
      <c r="A32" t="s">
        <v>42</v>
      </c>
      <c r="B32" t="str">
        <f>HYPERLINK("https://www.senado.gob.ar/parlamentario/comisiones/verExp/888.25/S/PD","888")</f>
        <v>888</v>
      </c>
      <c r="C32" t="str">
        <f>HYPERLINK("https://www.senado.gob.ar/parlamentario/comisiones/verExp/888.25/S/PD","2025")</f>
        <v>2025</v>
      </c>
      <c r="D32" t="s">
        <v>70</v>
      </c>
      <c r="E32" t="s">
        <v>163</v>
      </c>
      <c r="F32" t="s">
        <v>164</v>
      </c>
      <c r="H32" t="s">
        <v>73</v>
      </c>
      <c r="I32" t="s">
        <v>165</v>
      </c>
      <c r="K32" t="s">
        <v>75</v>
      </c>
      <c r="L32" t="s">
        <v>161</v>
      </c>
      <c r="N32" t="s">
        <v>166</v>
      </c>
      <c r="O32">
        <v>74</v>
      </c>
      <c r="P32" t="s">
        <v>78</v>
      </c>
      <c r="Q32" t="s">
        <v>167</v>
      </c>
      <c r="R32" t="s">
        <v>79</v>
      </c>
      <c r="AI32" t="str">
        <f>HYPERLINK("https://www.senado.gob.ar/parlamentario/parlamentaria/ordenDelDiaResultadoLink/2025/412"," 412 2025 AP -")</f>
        <v xml:space="preserve"> 412 2025 AP -</v>
      </c>
      <c r="AJ32" t="s">
        <v>80</v>
      </c>
      <c r="AK32" t="s">
        <v>55</v>
      </c>
      <c r="AM32" t="s">
        <v>73</v>
      </c>
    </row>
    <row r="33" spans="1:39" x14ac:dyDescent="0.25">
      <c r="A33" t="s">
        <v>42</v>
      </c>
      <c r="B33" t="str">
        <f>HYPERLINK("https://www.senado.gob.ar/parlamentario/comisiones/verExp/887.25/S/PD","887")</f>
        <v>887</v>
      </c>
      <c r="C33" t="str">
        <f>HYPERLINK("https://www.senado.gob.ar/parlamentario/comisiones/verExp/887.25/S/PD","2025")</f>
        <v>2025</v>
      </c>
      <c r="D33" t="s">
        <v>70</v>
      </c>
      <c r="E33" t="s">
        <v>168</v>
      </c>
      <c r="F33" t="s">
        <v>164</v>
      </c>
      <c r="H33" t="s">
        <v>73</v>
      </c>
      <c r="I33" t="s">
        <v>165</v>
      </c>
      <c r="K33" t="s">
        <v>123</v>
      </c>
      <c r="L33" t="s">
        <v>161</v>
      </c>
      <c r="N33" t="s">
        <v>133</v>
      </c>
      <c r="O33">
        <v>77</v>
      </c>
      <c r="P33" t="s">
        <v>125</v>
      </c>
      <c r="Q33" t="s">
        <v>167</v>
      </c>
      <c r="R33" t="s">
        <v>127</v>
      </c>
      <c r="AI33" t="str">
        <f>HYPERLINK("https://www.senado.gob.ar/parlamentario/parlamentaria/ordenDelDiaResultadoLink/2025/550"," 550 2025 AP -")</f>
        <v xml:space="preserve"> 550 2025 AP -</v>
      </c>
      <c r="AJ33" t="s">
        <v>80</v>
      </c>
      <c r="AK33" t="s">
        <v>55</v>
      </c>
      <c r="AM33" t="s">
        <v>73</v>
      </c>
    </row>
    <row r="34" spans="1:39" x14ac:dyDescent="0.25">
      <c r="A34" t="s">
        <v>42</v>
      </c>
      <c r="B34" t="str">
        <f>HYPERLINK("https://www.senado.gob.ar/parlamentario/comisiones/verExp/886.25/S/PD","886")</f>
        <v>886</v>
      </c>
      <c r="C34" t="str">
        <f>HYPERLINK("https://www.senado.gob.ar/parlamentario/comisiones/verExp/886.25/S/PD","2025")</f>
        <v>2025</v>
      </c>
      <c r="D34" t="s">
        <v>70</v>
      </c>
      <c r="E34" t="s">
        <v>169</v>
      </c>
      <c r="F34" t="s">
        <v>164</v>
      </c>
      <c r="H34" t="s">
        <v>73</v>
      </c>
      <c r="I34" t="s">
        <v>165</v>
      </c>
      <c r="K34" t="s">
        <v>123</v>
      </c>
      <c r="L34" t="s">
        <v>161</v>
      </c>
      <c r="N34" t="s">
        <v>133</v>
      </c>
      <c r="O34">
        <v>77</v>
      </c>
      <c r="P34" t="s">
        <v>125</v>
      </c>
      <c r="Q34" t="s">
        <v>167</v>
      </c>
      <c r="R34" t="s">
        <v>127</v>
      </c>
      <c r="AI34" t="str">
        <f>HYPERLINK("https://www.senado.gob.ar/parlamentario/parlamentaria/ordenDelDiaResultadoLink/2025/549"," 549 2025 AP -")</f>
        <v xml:space="preserve"> 549 2025 AP -</v>
      </c>
      <c r="AJ34" t="s">
        <v>80</v>
      </c>
      <c r="AK34" t="s">
        <v>55</v>
      </c>
      <c r="AM34" t="s">
        <v>73</v>
      </c>
    </row>
    <row r="35" spans="1:39" x14ac:dyDescent="0.25">
      <c r="A35" t="s">
        <v>42</v>
      </c>
      <c r="B35" t="str">
        <f>HYPERLINK("https://www.senado.gob.ar/parlamentario/comisiones/verExp/885.25/S/PD","885")</f>
        <v>885</v>
      </c>
      <c r="C35" t="str">
        <f>HYPERLINK("https://www.senado.gob.ar/parlamentario/comisiones/verExp/885.25/S/PD","2025")</f>
        <v>2025</v>
      </c>
      <c r="D35" t="s">
        <v>70</v>
      </c>
      <c r="E35" t="s">
        <v>170</v>
      </c>
      <c r="F35" t="s">
        <v>164</v>
      </c>
      <c r="H35" t="s">
        <v>171</v>
      </c>
      <c r="I35" t="s">
        <v>165</v>
      </c>
      <c r="K35" t="s">
        <v>172</v>
      </c>
      <c r="L35" t="s">
        <v>161</v>
      </c>
      <c r="N35" t="s">
        <v>84</v>
      </c>
      <c r="O35">
        <v>56</v>
      </c>
      <c r="P35" t="s">
        <v>173</v>
      </c>
      <c r="Q35" t="s">
        <v>167</v>
      </c>
      <c r="R35" t="s">
        <v>174</v>
      </c>
      <c r="AI35" t="str">
        <f>HYPERLINK("https://www.senado.gob.ar/parlamentario/parlamentaria/ordenDelDiaResultadoLink/2025/283"," 283 2025 AP -")</f>
        <v xml:space="preserve"> 283 2025 AP -</v>
      </c>
      <c r="AJ35" t="s">
        <v>80</v>
      </c>
      <c r="AK35" t="s">
        <v>55</v>
      </c>
      <c r="AM35" t="s">
        <v>171</v>
      </c>
    </row>
    <row r="36" spans="1:39" x14ac:dyDescent="0.25">
      <c r="A36" t="s">
        <v>42</v>
      </c>
      <c r="B36" t="str">
        <f>HYPERLINK("https://www.senado.gob.ar/parlamentario/comisiones/verExp/878.25/S/PD","878")</f>
        <v>878</v>
      </c>
      <c r="C36" t="str">
        <f>HYPERLINK("https://www.senado.gob.ar/parlamentario/comisiones/verExp/878.25/S/PD","2025")</f>
        <v>2025</v>
      </c>
      <c r="D36" t="s">
        <v>70</v>
      </c>
      <c r="E36" t="s">
        <v>175</v>
      </c>
      <c r="F36" t="s">
        <v>164</v>
      </c>
      <c r="H36" t="s">
        <v>73</v>
      </c>
      <c r="I36" t="s">
        <v>165</v>
      </c>
      <c r="K36" t="s">
        <v>101</v>
      </c>
      <c r="L36" t="s">
        <v>161</v>
      </c>
      <c r="N36" t="s">
        <v>176</v>
      </c>
      <c r="O36">
        <v>76</v>
      </c>
      <c r="P36" t="s">
        <v>103</v>
      </c>
      <c r="Q36" t="s">
        <v>167</v>
      </c>
      <c r="R36" t="s">
        <v>104</v>
      </c>
      <c r="AI36" t="str">
        <f>HYPERLINK("https://www.senado.gob.ar/parlamentario/parlamentaria/ordenDelDiaResultadoLink/2025/403"," 403 2025 AP -")</f>
        <v xml:space="preserve"> 403 2025 AP -</v>
      </c>
      <c r="AJ36" t="s">
        <v>80</v>
      </c>
      <c r="AK36" t="s">
        <v>55</v>
      </c>
      <c r="AM36" t="s">
        <v>73</v>
      </c>
    </row>
    <row r="37" spans="1:39" x14ac:dyDescent="0.25">
      <c r="A37" t="s">
        <v>42</v>
      </c>
      <c r="B37" t="str">
        <f>HYPERLINK("https://www.senado.gob.ar/parlamentario/comisiones/verExp/873.25/S/PD","873")</f>
        <v>873</v>
      </c>
      <c r="C37" t="str">
        <f>HYPERLINK("https://www.senado.gob.ar/parlamentario/comisiones/verExp/873.25/S/PD","2025")</f>
        <v>2025</v>
      </c>
      <c r="D37" t="s">
        <v>70</v>
      </c>
      <c r="E37" t="s">
        <v>177</v>
      </c>
      <c r="F37" t="s">
        <v>164</v>
      </c>
      <c r="H37" t="s">
        <v>73</v>
      </c>
      <c r="I37" t="s">
        <v>178</v>
      </c>
      <c r="K37" t="s">
        <v>123</v>
      </c>
      <c r="L37" t="s">
        <v>161</v>
      </c>
      <c r="N37" t="s">
        <v>179</v>
      </c>
      <c r="O37">
        <v>77</v>
      </c>
      <c r="P37" t="s">
        <v>125</v>
      </c>
      <c r="Q37" t="s">
        <v>167</v>
      </c>
      <c r="R37" t="s">
        <v>127</v>
      </c>
      <c r="AI37" t="str">
        <f>HYPERLINK("https://www.senado.gob.ar/parlamentario/parlamentaria/ordenDelDiaResultadoLink/2025/542"," 542 2025 AP -")</f>
        <v xml:space="preserve"> 542 2025 AP -</v>
      </c>
      <c r="AJ37" t="s">
        <v>80</v>
      </c>
      <c r="AK37" t="s">
        <v>55</v>
      </c>
      <c r="AM37" t="s">
        <v>73</v>
      </c>
    </row>
    <row r="38" spans="1:39" x14ac:dyDescent="0.25">
      <c r="A38" t="s">
        <v>42</v>
      </c>
      <c r="B38" t="str">
        <f>HYPERLINK("https://www.senado.gob.ar/parlamentario/comisiones/verExp/852.25/S/PD","852")</f>
        <v>852</v>
      </c>
      <c r="C38" t="str">
        <f>HYPERLINK("https://www.senado.gob.ar/parlamentario/comisiones/verExp/852.25/S/PD","2025")</f>
        <v>2025</v>
      </c>
      <c r="D38" t="s">
        <v>70</v>
      </c>
      <c r="E38" t="s">
        <v>180</v>
      </c>
      <c r="F38" t="s">
        <v>181</v>
      </c>
      <c r="H38" t="s">
        <v>171</v>
      </c>
      <c r="I38" t="s">
        <v>182</v>
      </c>
      <c r="K38" t="s">
        <v>172</v>
      </c>
      <c r="L38" t="s">
        <v>161</v>
      </c>
      <c r="N38" t="s">
        <v>110</v>
      </c>
      <c r="O38">
        <v>56</v>
      </c>
      <c r="P38" t="s">
        <v>173</v>
      </c>
      <c r="Q38" t="s">
        <v>167</v>
      </c>
      <c r="R38" t="s">
        <v>174</v>
      </c>
      <c r="AI38" t="str">
        <f>HYPERLINK("https://www.senado.gob.ar/parlamentario/parlamentaria/ordenDelDiaResultadoLink/2025/283"," 283 2025 AP -")</f>
        <v xml:space="preserve"> 283 2025 AP -</v>
      </c>
      <c r="AJ38" t="s">
        <v>80</v>
      </c>
      <c r="AK38" t="s">
        <v>55</v>
      </c>
      <c r="AM38" t="s">
        <v>171</v>
      </c>
    </row>
    <row r="39" spans="1:39" x14ac:dyDescent="0.25">
      <c r="A39" t="s">
        <v>42</v>
      </c>
      <c r="B39" t="str">
        <f>HYPERLINK("https://www.senado.gob.ar/parlamentario/comisiones/verExp/851.25/S/PD","851")</f>
        <v>851</v>
      </c>
      <c r="C39" t="str">
        <f>HYPERLINK("https://www.senado.gob.ar/parlamentario/comisiones/verExp/851.25/S/PD","2025")</f>
        <v>2025</v>
      </c>
      <c r="D39" t="s">
        <v>70</v>
      </c>
      <c r="E39" t="s">
        <v>183</v>
      </c>
      <c r="F39" t="s">
        <v>181</v>
      </c>
      <c r="H39" t="s">
        <v>73</v>
      </c>
      <c r="I39" t="s">
        <v>182</v>
      </c>
      <c r="K39" t="s">
        <v>75</v>
      </c>
      <c r="L39" t="s">
        <v>161</v>
      </c>
      <c r="N39" t="s">
        <v>110</v>
      </c>
      <c r="O39">
        <v>74</v>
      </c>
      <c r="P39" t="s">
        <v>78</v>
      </c>
      <c r="Q39" t="s">
        <v>167</v>
      </c>
      <c r="R39" t="s">
        <v>79</v>
      </c>
      <c r="AI39" t="str">
        <f>HYPERLINK("https://www.senado.gob.ar/parlamentario/parlamentaria/ordenDelDiaResultadoLink/2025/408"," 408 2025 AP -")</f>
        <v xml:space="preserve"> 408 2025 AP -</v>
      </c>
      <c r="AJ39" t="s">
        <v>80</v>
      </c>
      <c r="AK39" t="s">
        <v>55</v>
      </c>
      <c r="AM39" t="s">
        <v>73</v>
      </c>
    </row>
    <row r="40" spans="1:39" x14ac:dyDescent="0.25">
      <c r="A40" t="s">
        <v>42</v>
      </c>
      <c r="B40" t="str">
        <f>HYPERLINK("https://www.senado.gob.ar/parlamentario/comisiones/verExp/841.25/S/PD","841")</f>
        <v>841</v>
      </c>
      <c r="C40" t="str">
        <f>HYPERLINK("https://www.senado.gob.ar/parlamentario/comisiones/verExp/841.25/S/PD","2025")</f>
        <v>2025</v>
      </c>
      <c r="D40" t="s">
        <v>70</v>
      </c>
      <c r="E40" t="s">
        <v>184</v>
      </c>
      <c r="F40" t="s">
        <v>185</v>
      </c>
      <c r="H40" t="s">
        <v>73</v>
      </c>
      <c r="I40" t="s">
        <v>186</v>
      </c>
      <c r="K40" t="s">
        <v>187</v>
      </c>
      <c r="L40" t="s">
        <v>161</v>
      </c>
      <c r="N40" t="s">
        <v>119</v>
      </c>
      <c r="O40">
        <v>78</v>
      </c>
      <c r="P40" t="s">
        <v>188</v>
      </c>
      <c r="Q40" t="s">
        <v>167</v>
      </c>
      <c r="R40" t="s">
        <v>189</v>
      </c>
      <c r="AI40" t="str">
        <f>HYPERLINK("https://www.senado.gob.ar/parlamentario/parlamentaria/ordenDelDiaResultadoLink/2025/407"," 407 2025 AP -")</f>
        <v xml:space="preserve"> 407 2025 AP -</v>
      </c>
      <c r="AJ40" t="s">
        <v>80</v>
      </c>
      <c r="AK40" t="s">
        <v>55</v>
      </c>
      <c r="AM40" t="s">
        <v>73</v>
      </c>
    </row>
    <row r="41" spans="1:39" x14ac:dyDescent="0.25">
      <c r="A41" t="s">
        <v>42</v>
      </c>
      <c r="B41" t="str">
        <f>HYPERLINK("https://www.senado.gob.ar/parlamentario/comisiones/verExp/818.25/S/PD","818")</f>
        <v>818</v>
      </c>
      <c r="C41" t="str">
        <f>HYPERLINK("https://www.senado.gob.ar/parlamentario/comisiones/verExp/818.25/S/PD","2025")</f>
        <v>2025</v>
      </c>
      <c r="D41" t="s">
        <v>70</v>
      </c>
      <c r="E41" t="s">
        <v>190</v>
      </c>
      <c r="F41" t="s">
        <v>191</v>
      </c>
      <c r="H41" t="s">
        <v>73</v>
      </c>
      <c r="I41" t="s">
        <v>192</v>
      </c>
      <c r="K41" t="s">
        <v>75</v>
      </c>
      <c r="L41" t="s">
        <v>161</v>
      </c>
      <c r="N41" t="s">
        <v>193</v>
      </c>
      <c r="O41">
        <v>74</v>
      </c>
      <c r="P41" t="s">
        <v>78</v>
      </c>
      <c r="Q41" t="s">
        <v>167</v>
      </c>
      <c r="R41" t="s">
        <v>79</v>
      </c>
      <c r="AI41" t="str">
        <f>HYPERLINK("https://www.senado.gob.ar/parlamentario/parlamentaria/ordenDelDiaResultadoLink/2025/415"," 415 2025 AP -")</f>
        <v xml:space="preserve"> 415 2025 AP -</v>
      </c>
      <c r="AJ41" t="s">
        <v>80</v>
      </c>
      <c r="AK41" t="s">
        <v>55</v>
      </c>
      <c r="AM41" t="s">
        <v>73</v>
      </c>
    </row>
    <row r="42" spans="1:39" x14ac:dyDescent="0.25">
      <c r="A42" t="s">
        <v>42</v>
      </c>
      <c r="B42" t="str">
        <f>HYPERLINK("https://www.senado.gob.ar/parlamentario/comisiones/verExp/817.25/S/PD","817")</f>
        <v>817</v>
      </c>
      <c r="C42" t="str">
        <f>HYPERLINK("https://www.senado.gob.ar/parlamentario/comisiones/verExp/817.25/S/PD","2025")</f>
        <v>2025</v>
      </c>
      <c r="D42" t="s">
        <v>70</v>
      </c>
      <c r="E42" t="s">
        <v>194</v>
      </c>
      <c r="F42" t="s">
        <v>191</v>
      </c>
      <c r="H42" t="s">
        <v>73</v>
      </c>
      <c r="I42" t="s">
        <v>192</v>
      </c>
      <c r="K42" t="s">
        <v>123</v>
      </c>
      <c r="L42" t="s">
        <v>161</v>
      </c>
      <c r="N42" t="s">
        <v>195</v>
      </c>
      <c r="O42">
        <v>75</v>
      </c>
      <c r="P42" t="s">
        <v>196</v>
      </c>
      <c r="Q42" t="s">
        <v>167</v>
      </c>
      <c r="R42" t="s">
        <v>127</v>
      </c>
      <c r="AI42" t="str">
        <f>HYPERLINK("https://www.senado.gob.ar/parlamentario/parlamentaria/ordenDelDiaResultadoLink/2025/517"," 517 2025 AP -")</f>
        <v xml:space="preserve"> 517 2025 AP -</v>
      </c>
      <c r="AJ42" t="s">
        <v>80</v>
      </c>
      <c r="AK42" t="s">
        <v>55</v>
      </c>
      <c r="AM42" t="s">
        <v>73</v>
      </c>
    </row>
    <row r="43" spans="1:39" x14ac:dyDescent="0.25">
      <c r="A43" t="s">
        <v>42</v>
      </c>
      <c r="B43" t="str">
        <f>HYPERLINK("https://www.senado.gob.ar/parlamentario/comisiones/verExp/799.25/S/PD","799")</f>
        <v>799</v>
      </c>
      <c r="C43" t="str">
        <f>HYPERLINK("https://www.senado.gob.ar/parlamentario/comisiones/verExp/799.25/S/PD","2025")</f>
        <v>2025</v>
      </c>
      <c r="D43" t="s">
        <v>70</v>
      </c>
      <c r="E43" t="s">
        <v>197</v>
      </c>
      <c r="F43" t="s">
        <v>198</v>
      </c>
      <c r="H43" t="s">
        <v>73</v>
      </c>
      <c r="I43" t="s">
        <v>199</v>
      </c>
      <c r="K43" t="s">
        <v>75</v>
      </c>
      <c r="L43" t="s">
        <v>192</v>
      </c>
      <c r="N43" t="s">
        <v>77</v>
      </c>
      <c r="O43">
        <v>74</v>
      </c>
      <c r="P43" t="s">
        <v>78</v>
      </c>
      <c r="Q43" t="s">
        <v>200</v>
      </c>
      <c r="R43" t="s">
        <v>79</v>
      </c>
      <c r="AI43" t="str">
        <f>HYPERLINK("https://www.senado.gob.ar/parlamentario/parlamentaria/ordenDelDiaResultadoLink/2025/417"," 417 2025 AP -")</f>
        <v xml:space="preserve"> 417 2025 AP -</v>
      </c>
      <c r="AJ43" t="s">
        <v>80</v>
      </c>
      <c r="AK43" t="s">
        <v>55</v>
      </c>
      <c r="AM43" t="s">
        <v>73</v>
      </c>
    </row>
    <row r="44" spans="1:39" x14ac:dyDescent="0.25">
      <c r="A44" t="s">
        <v>42</v>
      </c>
      <c r="B44" t="str">
        <f>HYPERLINK("https://www.senado.gob.ar/parlamentario/comisiones/verExp/791.25/S/PD","791")</f>
        <v>791</v>
      </c>
      <c r="C44" t="str">
        <f>HYPERLINK("https://www.senado.gob.ar/parlamentario/comisiones/verExp/791.25/S/PD","2025")</f>
        <v>2025</v>
      </c>
      <c r="D44" t="s">
        <v>70</v>
      </c>
      <c r="E44" t="s">
        <v>201</v>
      </c>
      <c r="F44" t="s">
        <v>198</v>
      </c>
      <c r="H44" t="s">
        <v>73</v>
      </c>
      <c r="I44" t="s">
        <v>202</v>
      </c>
      <c r="K44" t="s">
        <v>123</v>
      </c>
      <c r="L44" t="s">
        <v>192</v>
      </c>
      <c r="N44" t="s">
        <v>203</v>
      </c>
      <c r="O44">
        <v>75</v>
      </c>
      <c r="P44" t="s">
        <v>196</v>
      </c>
      <c r="Q44" t="s">
        <v>200</v>
      </c>
      <c r="R44" t="s">
        <v>127</v>
      </c>
      <c r="AI44" t="str">
        <f>HYPERLINK("https://www.senado.gob.ar/parlamentario/parlamentaria/ordenDelDiaResultadoLink/2025/516"," 516 2025 AP -")</f>
        <v xml:space="preserve"> 516 2025 AP -</v>
      </c>
      <c r="AJ44" t="s">
        <v>80</v>
      </c>
      <c r="AK44" t="s">
        <v>55</v>
      </c>
      <c r="AM44" t="s">
        <v>73</v>
      </c>
    </row>
    <row r="45" spans="1:39" x14ac:dyDescent="0.25">
      <c r="A45" t="s">
        <v>42</v>
      </c>
      <c r="B45" t="str">
        <f>HYPERLINK("https://www.senado.gob.ar/parlamentario/comisiones/verExp/789.25/S/PD","789")</f>
        <v>789</v>
      </c>
      <c r="C45" t="str">
        <f>HYPERLINK("https://www.senado.gob.ar/parlamentario/comisiones/verExp/789.25/S/PD","2025")</f>
        <v>2025</v>
      </c>
      <c r="D45" t="s">
        <v>70</v>
      </c>
      <c r="E45" t="s">
        <v>204</v>
      </c>
      <c r="F45" t="s">
        <v>205</v>
      </c>
      <c r="I45" t="s">
        <v>202</v>
      </c>
      <c r="K45" t="s">
        <v>206</v>
      </c>
      <c r="L45" t="s">
        <v>192</v>
      </c>
      <c r="N45" t="s">
        <v>207</v>
      </c>
      <c r="O45">
        <v>75</v>
      </c>
      <c r="P45" t="s">
        <v>196</v>
      </c>
      <c r="Q45" t="s">
        <v>200</v>
      </c>
      <c r="R45" t="s">
        <v>91</v>
      </c>
      <c r="AI45" t="str">
        <f>HYPERLINK("https://www.senado.gob.ar/parlamentario/parlamentaria/ordenDelDiaResultadoLink/2025/315"," 315 2025 AP -")</f>
        <v xml:space="preserve"> 315 2025 AP -</v>
      </c>
      <c r="AJ45" t="s">
        <v>80</v>
      </c>
      <c r="AK45" t="s">
        <v>55</v>
      </c>
    </row>
    <row r="46" spans="1:39" x14ac:dyDescent="0.25">
      <c r="A46" t="s">
        <v>42</v>
      </c>
      <c r="B46" t="str">
        <f>HYPERLINK("https://www.senado.gob.ar/parlamentario/comisiones/verExp/782.25/S/PD","782")</f>
        <v>782</v>
      </c>
      <c r="C46" t="str">
        <f>HYPERLINK("https://www.senado.gob.ar/parlamentario/comisiones/verExp/782.25/S/PD","2025")</f>
        <v>2025</v>
      </c>
      <c r="D46" t="s">
        <v>70</v>
      </c>
      <c r="E46" t="s">
        <v>208</v>
      </c>
      <c r="F46" t="s">
        <v>205</v>
      </c>
      <c r="H46" t="s">
        <v>73</v>
      </c>
      <c r="I46" t="s">
        <v>209</v>
      </c>
      <c r="K46" t="s">
        <v>210</v>
      </c>
      <c r="L46" t="s">
        <v>192</v>
      </c>
      <c r="N46" t="s">
        <v>203</v>
      </c>
      <c r="O46">
        <v>59</v>
      </c>
      <c r="P46" t="s">
        <v>211</v>
      </c>
      <c r="Q46" t="s">
        <v>200</v>
      </c>
      <c r="R46" t="s">
        <v>212</v>
      </c>
      <c r="AI46" t="str">
        <f>HYPERLINK("https://www.senado.gob.ar/parlamentario/parlamentaria/ordenDelDiaResultadoLink/2025/456"," 456 2025 AP -")</f>
        <v xml:space="preserve"> 456 2025 AP -</v>
      </c>
      <c r="AJ46" t="s">
        <v>80</v>
      </c>
      <c r="AK46" t="s">
        <v>55</v>
      </c>
      <c r="AM46" t="s">
        <v>73</v>
      </c>
    </row>
    <row r="47" spans="1:39" x14ac:dyDescent="0.25">
      <c r="A47" t="s">
        <v>42</v>
      </c>
      <c r="B47" t="str">
        <f>HYPERLINK("https://www.senado.gob.ar/parlamentario/comisiones/verExp/775.25/S/PD","775")</f>
        <v>775</v>
      </c>
      <c r="C47" t="str">
        <f>HYPERLINK("https://www.senado.gob.ar/parlamentario/comisiones/verExp/775.25/S/PD","2025")</f>
        <v>2025</v>
      </c>
      <c r="D47" t="s">
        <v>70</v>
      </c>
      <c r="E47" t="s">
        <v>213</v>
      </c>
      <c r="F47" t="s">
        <v>205</v>
      </c>
      <c r="H47" t="s">
        <v>73</v>
      </c>
      <c r="I47" t="s">
        <v>209</v>
      </c>
      <c r="K47" t="s">
        <v>123</v>
      </c>
      <c r="L47" t="s">
        <v>192</v>
      </c>
      <c r="N47" t="s">
        <v>110</v>
      </c>
      <c r="O47">
        <v>77</v>
      </c>
      <c r="P47" t="s">
        <v>125</v>
      </c>
      <c r="Q47" t="s">
        <v>200</v>
      </c>
      <c r="R47" t="s">
        <v>127</v>
      </c>
      <c r="AI47" t="str">
        <f>HYPERLINK("https://www.senado.gob.ar/parlamentario/parlamentaria/ordenDelDiaResultadoLink/2025/548"," 548 2025 AP -")</f>
        <v xml:space="preserve"> 548 2025 AP -</v>
      </c>
      <c r="AJ47" t="s">
        <v>80</v>
      </c>
      <c r="AK47" t="s">
        <v>55</v>
      </c>
      <c r="AM47" t="s">
        <v>73</v>
      </c>
    </row>
    <row r="48" spans="1:39" x14ac:dyDescent="0.25">
      <c r="A48" t="s">
        <v>42</v>
      </c>
      <c r="B48" t="str">
        <f>HYPERLINK("https://www.senado.gob.ar/parlamentario/comisiones/verExp/772.25/S/PD","772")</f>
        <v>772</v>
      </c>
      <c r="C48" t="str">
        <f>HYPERLINK("https://www.senado.gob.ar/parlamentario/comisiones/verExp/772.25/S/PD","2025")</f>
        <v>2025</v>
      </c>
      <c r="D48" t="s">
        <v>70</v>
      </c>
      <c r="E48" t="s">
        <v>214</v>
      </c>
      <c r="F48" t="s">
        <v>205</v>
      </c>
      <c r="H48" t="s">
        <v>171</v>
      </c>
      <c r="I48" t="s">
        <v>209</v>
      </c>
      <c r="K48" t="s">
        <v>172</v>
      </c>
      <c r="L48" t="s">
        <v>192</v>
      </c>
      <c r="N48" t="s">
        <v>110</v>
      </c>
      <c r="O48">
        <v>56</v>
      </c>
      <c r="P48" t="s">
        <v>173</v>
      </c>
      <c r="Q48" t="s">
        <v>200</v>
      </c>
      <c r="R48" t="s">
        <v>174</v>
      </c>
      <c r="AI48" t="str">
        <f>HYPERLINK("https://www.senado.gob.ar/parlamentario/parlamentaria/ordenDelDiaResultadoLink/2025/282"," 282 2025 AP -")</f>
        <v xml:space="preserve"> 282 2025 AP -</v>
      </c>
      <c r="AJ48" t="s">
        <v>80</v>
      </c>
      <c r="AK48" t="s">
        <v>55</v>
      </c>
      <c r="AM48" t="s">
        <v>171</v>
      </c>
    </row>
    <row r="49" spans="1:39" x14ac:dyDescent="0.25">
      <c r="A49" t="s">
        <v>42</v>
      </c>
      <c r="B49" t="str">
        <f>HYPERLINK("https://www.senado.gob.ar/parlamentario/comisiones/verExp/723.25/S/PD","723")</f>
        <v>723</v>
      </c>
      <c r="C49" t="str">
        <f>HYPERLINK("https://www.senado.gob.ar/parlamentario/comisiones/verExp/723.25/S/PD","2025")</f>
        <v>2025</v>
      </c>
      <c r="D49" t="s">
        <v>70</v>
      </c>
      <c r="E49" t="s">
        <v>215</v>
      </c>
      <c r="F49" t="s">
        <v>216</v>
      </c>
      <c r="H49" t="s">
        <v>73</v>
      </c>
      <c r="I49" t="s">
        <v>217</v>
      </c>
      <c r="K49" t="s">
        <v>101</v>
      </c>
      <c r="L49" t="s">
        <v>192</v>
      </c>
      <c r="N49" t="s">
        <v>203</v>
      </c>
      <c r="O49">
        <v>76</v>
      </c>
      <c r="P49" t="s">
        <v>103</v>
      </c>
      <c r="Q49" t="s">
        <v>200</v>
      </c>
      <c r="R49" t="s">
        <v>104</v>
      </c>
      <c r="AI49" t="str">
        <f>HYPERLINK("https://www.senado.gob.ar/parlamentario/parlamentaria/ordenDelDiaResultadoLink/2025/400"," 400 2025 AP -")</f>
        <v xml:space="preserve"> 400 2025 AP -</v>
      </c>
      <c r="AJ49" t="s">
        <v>80</v>
      </c>
      <c r="AK49" t="s">
        <v>55</v>
      </c>
      <c r="AM49" t="s">
        <v>73</v>
      </c>
    </row>
    <row r="50" spans="1:39" x14ac:dyDescent="0.25">
      <c r="A50" t="s">
        <v>42</v>
      </c>
      <c r="B50" t="str">
        <f>HYPERLINK("https://www.senado.gob.ar/parlamentario/comisiones/verExp/722.25/S/PD","722")</f>
        <v>722</v>
      </c>
      <c r="C50" t="str">
        <f>HYPERLINK("https://www.senado.gob.ar/parlamentario/comisiones/verExp/722.25/S/PD","2025")</f>
        <v>2025</v>
      </c>
      <c r="D50" t="s">
        <v>70</v>
      </c>
      <c r="E50" t="s">
        <v>218</v>
      </c>
      <c r="F50" t="s">
        <v>216</v>
      </c>
      <c r="H50" t="s">
        <v>73</v>
      </c>
      <c r="I50" t="s">
        <v>217</v>
      </c>
      <c r="K50" t="s">
        <v>101</v>
      </c>
      <c r="L50" t="s">
        <v>192</v>
      </c>
      <c r="N50" t="s">
        <v>203</v>
      </c>
      <c r="O50">
        <v>76</v>
      </c>
      <c r="P50" t="s">
        <v>103</v>
      </c>
      <c r="Q50" t="s">
        <v>200</v>
      </c>
      <c r="R50" t="s">
        <v>104</v>
      </c>
      <c r="AI50" t="str">
        <f>HYPERLINK("https://www.senado.gob.ar/parlamentario/parlamentaria/ordenDelDiaResultadoLink/2025/399"," 399 2025 AP -")</f>
        <v xml:space="preserve"> 399 2025 AP -</v>
      </c>
      <c r="AJ50" t="s">
        <v>80</v>
      </c>
      <c r="AK50" t="s">
        <v>55</v>
      </c>
      <c r="AM50" t="s">
        <v>73</v>
      </c>
    </row>
    <row r="51" spans="1:39" x14ac:dyDescent="0.25">
      <c r="A51" t="s">
        <v>42</v>
      </c>
      <c r="B51" t="str">
        <f>HYPERLINK("https://www.senado.gob.ar/parlamentario/comisiones/verExp/718.25/S/PD","718")</f>
        <v>718</v>
      </c>
      <c r="C51" t="str">
        <f>HYPERLINK("https://www.senado.gob.ar/parlamentario/comisiones/verExp/718.25/S/PD","2025")</f>
        <v>2025</v>
      </c>
      <c r="D51" t="s">
        <v>70</v>
      </c>
      <c r="E51" t="s">
        <v>219</v>
      </c>
      <c r="F51" t="s">
        <v>216</v>
      </c>
      <c r="H51" t="s">
        <v>73</v>
      </c>
      <c r="I51" t="s">
        <v>217</v>
      </c>
      <c r="K51" t="s">
        <v>123</v>
      </c>
      <c r="L51" t="s">
        <v>192</v>
      </c>
      <c r="N51" t="s">
        <v>139</v>
      </c>
      <c r="O51">
        <v>77</v>
      </c>
      <c r="P51" t="s">
        <v>125</v>
      </c>
      <c r="Q51" t="s">
        <v>200</v>
      </c>
      <c r="R51" t="s">
        <v>127</v>
      </c>
      <c r="AI51" t="str">
        <f>HYPERLINK("https://www.senado.gob.ar/parlamentario/parlamentaria/ordenDelDiaResultadoLink/2025/536"," 536 2025 AP -")</f>
        <v xml:space="preserve"> 536 2025 AP -</v>
      </c>
      <c r="AJ51" t="s">
        <v>80</v>
      </c>
      <c r="AK51" t="s">
        <v>55</v>
      </c>
      <c r="AM51" t="s">
        <v>73</v>
      </c>
    </row>
    <row r="52" spans="1:39" x14ac:dyDescent="0.25">
      <c r="A52" t="s">
        <v>42</v>
      </c>
      <c r="B52" t="str">
        <f>HYPERLINK("https://www.senado.gob.ar/parlamentario/comisiones/verExp/710.25/S/PD","710")</f>
        <v>710</v>
      </c>
      <c r="C52" t="str">
        <f>HYPERLINK("https://www.senado.gob.ar/parlamentario/comisiones/verExp/710.25/S/PD","2025")</f>
        <v>2025</v>
      </c>
      <c r="D52" t="s">
        <v>70</v>
      </c>
      <c r="E52" t="s">
        <v>220</v>
      </c>
      <c r="F52" t="s">
        <v>221</v>
      </c>
      <c r="H52" t="s">
        <v>73</v>
      </c>
      <c r="I52" t="s">
        <v>222</v>
      </c>
      <c r="K52" t="s">
        <v>123</v>
      </c>
      <c r="L52" t="s">
        <v>192</v>
      </c>
      <c r="N52" t="s">
        <v>223</v>
      </c>
      <c r="O52">
        <v>77</v>
      </c>
      <c r="P52" t="s">
        <v>125</v>
      </c>
      <c r="Q52" t="s">
        <v>200</v>
      </c>
      <c r="R52" t="s">
        <v>127</v>
      </c>
      <c r="AI52" t="str">
        <f>HYPERLINK("https://www.senado.gob.ar/parlamentario/parlamentaria/ordenDelDiaResultadoLink/2025/535"," 535 2025 AP -")</f>
        <v xml:space="preserve"> 535 2025 AP -</v>
      </c>
      <c r="AJ52" t="s">
        <v>80</v>
      </c>
      <c r="AK52" t="s">
        <v>55</v>
      </c>
      <c r="AM52" t="s">
        <v>73</v>
      </c>
    </row>
    <row r="53" spans="1:39" x14ac:dyDescent="0.25">
      <c r="A53" t="s">
        <v>42</v>
      </c>
      <c r="B53" t="str">
        <f>HYPERLINK("https://www.senado.gob.ar/parlamentario/comisiones/verExp/702.25/S/PD","702")</f>
        <v>702</v>
      </c>
      <c r="C53" t="str">
        <f>HYPERLINK("https://www.senado.gob.ar/parlamentario/comisiones/verExp/702.25/S/PD","2025")</f>
        <v>2025</v>
      </c>
      <c r="D53" t="s">
        <v>70</v>
      </c>
      <c r="E53" t="s">
        <v>224</v>
      </c>
      <c r="F53" t="s">
        <v>221</v>
      </c>
      <c r="H53" t="s">
        <v>73</v>
      </c>
      <c r="I53" t="s">
        <v>222</v>
      </c>
      <c r="K53" t="s">
        <v>101</v>
      </c>
      <c r="L53" t="s">
        <v>225</v>
      </c>
      <c r="N53" t="s">
        <v>110</v>
      </c>
      <c r="O53">
        <v>76</v>
      </c>
      <c r="P53" t="s">
        <v>103</v>
      </c>
      <c r="Q53" t="s">
        <v>226</v>
      </c>
      <c r="R53" t="s">
        <v>104</v>
      </c>
      <c r="AI53" t="str">
        <f>HYPERLINK("https://www.senado.gob.ar/parlamentario/parlamentaria/ordenDelDiaResultadoLink/2025/397"," 397 2025 AP -")</f>
        <v xml:space="preserve"> 397 2025 AP -</v>
      </c>
      <c r="AJ53" t="s">
        <v>80</v>
      </c>
      <c r="AK53" t="s">
        <v>55</v>
      </c>
      <c r="AM53" t="s">
        <v>73</v>
      </c>
    </row>
    <row r="54" spans="1:39" x14ac:dyDescent="0.25">
      <c r="A54" t="s">
        <v>42</v>
      </c>
      <c r="B54" t="str">
        <f>HYPERLINK("https://www.senado.gob.ar/parlamentario/comisiones/verExp/700.25/S/PD","700")</f>
        <v>700</v>
      </c>
      <c r="C54" t="str">
        <f>HYPERLINK("https://www.senado.gob.ar/parlamentario/comisiones/verExp/700.25/S/PD","2025")</f>
        <v>2025</v>
      </c>
      <c r="D54" t="s">
        <v>70</v>
      </c>
      <c r="E54" t="s">
        <v>227</v>
      </c>
      <c r="F54" t="s">
        <v>221</v>
      </c>
      <c r="H54" t="s">
        <v>73</v>
      </c>
      <c r="I54" t="s">
        <v>222</v>
      </c>
      <c r="K54" t="s">
        <v>228</v>
      </c>
      <c r="L54" t="s">
        <v>225</v>
      </c>
      <c r="N54" t="s">
        <v>179</v>
      </c>
      <c r="O54">
        <v>75</v>
      </c>
      <c r="P54" t="s">
        <v>196</v>
      </c>
      <c r="Q54" t="s">
        <v>226</v>
      </c>
      <c r="R54" t="s">
        <v>229</v>
      </c>
      <c r="AI54" t="str">
        <f>HYPERLINK("https://www.senado.gob.ar/parlamentario/parlamentaria/ordenDelDiaResultadoLink/2025/325"," 325 2025 AP -")</f>
        <v xml:space="preserve"> 325 2025 AP -</v>
      </c>
      <c r="AJ54" t="s">
        <v>80</v>
      </c>
      <c r="AK54" t="s">
        <v>55</v>
      </c>
      <c r="AM54" t="s">
        <v>73</v>
      </c>
    </row>
    <row r="55" spans="1:39" x14ac:dyDescent="0.25">
      <c r="A55" t="s">
        <v>42</v>
      </c>
      <c r="B55" t="str">
        <f>HYPERLINK("https://www.senado.gob.ar/parlamentario/comisiones/verExp/691.25/S/PD","691")</f>
        <v>691</v>
      </c>
      <c r="C55" t="str">
        <f>HYPERLINK("https://www.senado.gob.ar/parlamentario/comisiones/verExp/691.25/S/PD","2025")</f>
        <v>2025</v>
      </c>
      <c r="D55" t="s">
        <v>70</v>
      </c>
      <c r="E55" t="s">
        <v>230</v>
      </c>
      <c r="F55" t="s">
        <v>221</v>
      </c>
      <c r="H55" t="s">
        <v>171</v>
      </c>
      <c r="I55" t="s">
        <v>222</v>
      </c>
      <c r="K55" t="s">
        <v>172</v>
      </c>
      <c r="L55" t="s">
        <v>225</v>
      </c>
      <c r="N55" t="s">
        <v>231</v>
      </c>
      <c r="O55">
        <v>56</v>
      </c>
      <c r="P55" t="s">
        <v>173</v>
      </c>
      <c r="Q55" t="s">
        <v>226</v>
      </c>
      <c r="R55" t="s">
        <v>174</v>
      </c>
      <c r="AI55" t="str">
        <f>HYPERLINK("https://www.senado.gob.ar/parlamentario/parlamentaria/ordenDelDiaResultadoLink/2025/282"," 282 2025 AP -")</f>
        <v xml:space="preserve"> 282 2025 AP -</v>
      </c>
      <c r="AJ55" t="s">
        <v>80</v>
      </c>
      <c r="AK55" t="s">
        <v>55</v>
      </c>
      <c r="AM55" t="s">
        <v>171</v>
      </c>
    </row>
    <row r="56" spans="1:39" x14ac:dyDescent="0.25">
      <c r="A56" t="s">
        <v>42</v>
      </c>
      <c r="B56" t="str">
        <f>HYPERLINK("https://www.senado.gob.ar/parlamentario/comisiones/verExp/681.25/S/PL","681")</f>
        <v>681</v>
      </c>
      <c r="C56" t="str">
        <f>HYPERLINK("https://www.senado.gob.ar/parlamentario/comisiones/verExp/681.25/S/PL","2025")</f>
        <v>2025</v>
      </c>
      <c r="D56" t="s">
        <v>56</v>
      </c>
      <c r="E56" t="s">
        <v>232</v>
      </c>
      <c r="F56" t="s">
        <v>233</v>
      </c>
      <c r="I56" t="s">
        <v>234</v>
      </c>
      <c r="K56" t="s">
        <v>87</v>
      </c>
      <c r="L56" t="s">
        <v>225</v>
      </c>
      <c r="N56" t="s">
        <v>235</v>
      </c>
      <c r="O56">
        <v>75</v>
      </c>
      <c r="P56" t="s">
        <v>196</v>
      </c>
      <c r="Q56" t="s">
        <v>226</v>
      </c>
      <c r="R56" t="s">
        <v>236</v>
      </c>
      <c r="AI56" t="str">
        <f>HYPERLINK("https://www.senado.gob.ar/parlamentario/parlamentaria/ordenDelDiaResultadoLink/2025/299"," 299 2025 AP -")</f>
        <v xml:space="preserve"> 299 2025 AP -</v>
      </c>
      <c r="AJ56" t="s">
        <v>80</v>
      </c>
      <c r="AK56" t="s">
        <v>55</v>
      </c>
    </row>
    <row r="57" spans="1:39" x14ac:dyDescent="0.25">
      <c r="A57" t="s">
        <v>42</v>
      </c>
      <c r="B57" t="str">
        <f>HYPERLINK("https://www.senado.gob.ar/parlamentario/comisiones/verExp/674.25/S/PD","674")</f>
        <v>674</v>
      </c>
      <c r="C57" t="str">
        <f>HYPERLINK("https://www.senado.gob.ar/parlamentario/comisiones/verExp/674.25/S/PD","2025")</f>
        <v>2025</v>
      </c>
      <c r="D57" t="s">
        <v>70</v>
      </c>
      <c r="E57" t="s">
        <v>237</v>
      </c>
      <c r="F57" t="s">
        <v>233</v>
      </c>
      <c r="H57" t="s">
        <v>73</v>
      </c>
      <c r="I57" t="s">
        <v>234</v>
      </c>
      <c r="K57" t="s">
        <v>238</v>
      </c>
      <c r="L57" t="s">
        <v>225</v>
      </c>
      <c r="N57" t="s">
        <v>239</v>
      </c>
      <c r="O57">
        <v>75</v>
      </c>
      <c r="P57" t="s">
        <v>196</v>
      </c>
      <c r="Q57" t="s">
        <v>226</v>
      </c>
      <c r="R57" t="s">
        <v>240</v>
      </c>
      <c r="AI57" t="str">
        <f>HYPERLINK("https://www.senado.gob.ar/parlamentario/parlamentaria/ordenDelDiaResultadoLink/2025/343"," 343 2025 AP -")</f>
        <v xml:space="preserve"> 343 2025 AP -</v>
      </c>
      <c r="AJ57" t="s">
        <v>80</v>
      </c>
      <c r="AK57" t="s">
        <v>55</v>
      </c>
      <c r="AM57" t="s">
        <v>73</v>
      </c>
    </row>
    <row r="58" spans="1:39" x14ac:dyDescent="0.25">
      <c r="A58" t="s">
        <v>42</v>
      </c>
      <c r="B58" t="str">
        <f>HYPERLINK("https://www.senado.gob.ar/parlamentario/comisiones/verExp/673.25/S/PD","673")</f>
        <v>673</v>
      </c>
      <c r="C58" t="str">
        <f>HYPERLINK("https://www.senado.gob.ar/parlamentario/comisiones/verExp/673.25/S/PD","2025")</f>
        <v>2025</v>
      </c>
      <c r="D58" t="s">
        <v>70</v>
      </c>
      <c r="E58" t="s">
        <v>241</v>
      </c>
      <c r="F58" t="s">
        <v>233</v>
      </c>
      <c r="H58" t="s">
        <v>73</v>
      </c>
      <c r="I58" t="s">
        <v>234</v>
      </c>
      <c r="K58" t="s">
        <v>238</v>
      </c>
      <c r="L58" t="s">
        <v>225</v>
      </c>
      <c r="N58" t="s">
        <v>77</v>
      </c>
      <c r="O58">
        <v>75</v>
      </c>
      <c r="P58" t="s">
        <v>196</v>
      </c>
      <c r="Q58" t="s">
        <v>226</v>
      </c>
      <c r="R58" t="s">
        <v>240</v>
      </c>
      <c r="AI58" t="str">
        <f>HYPERLINK("https://www.senado.gob.ar/parlamentario/parlamentaria/ordenDelDiaResultadoLink/2025/345"," 345 2025 AP -")</f>
        <v xml:space="preserve"> 345 2025 AP -</v>
      </c>
      <c r="AJ58" t="s">
        <v>80</v>
      </c>
      <c r="AK58" t="s">
        <v>55</v>
      </c>
      <c r="AM58" t="s">
        <v>73</v>
      </c>
    </row>
    <row r="59" spans="1:39" x14ac:dyDescent="0.25">
      <c r="A59" t="s">
        <v>42</v>
      </c>
      <c r="B59" t="str">
        <f>HYPERLINK("https://www.senado.gob.ar/parlamentario/comisiones/verExp/660.25/S/PD","660")</f>
        <v>660</v>
      </c>
      <c r="C59" t="str">
        <f>HYPERLINK("https://www.senado.gob.ar/parlamentario/comisiones/verExp/660.25/S/PD","2025")</f>
        <v>2025</v>
      </c>
      <c r="D59" t="s">
        <v>70</v>
      </c>
      <c r="E59" t="s">
        <v>242</v>
      </c>
      <c r="F59" t="s">
        <v>243</v>
      </c>
      <c r="H59" t="s">
        <v>73</v>
      </c>
      <c r="I59" t="s">
        <v>244</v>
      </c>
      <c r="K59" t="s">
        <v>228</v>
      </c>
      <c r="L59" t="s">
        <v>225</v>
      </c>
      <c r="N59" t="s">
        <v>162</v>
      </c>
      <c r="O59">
        <v>75</v>
      </c>
      <c r="P59" t="s">
        <v>196</v>
      </c>
      <c r="Q59" t="s">
        <v>226</v>
      </c>
      <c r="R59" t="s">
        <v>229</v>
      </c>
      <c r="AI59" t="str">
        <f>HYPERLINK("https://www.senado.gob.ar/parlamentario/parlamentaria/ordenDelDiaResultadoLink/2025/327"," 327 2025 AP -")</f>
        <v xml:space="preserve"> 327 2025 AP -</v>
      </c>
      <c r="AJ59" t="s">
        <v>80</v>
      </c>
      <c r="AK59" t="s">
        <v>55</v>
      </c>
      <c r="AM59" t="s">
        <v>73</v>
      </c>
    </row>
    <row r="60" spans="1:39" x14ac:dyDescent="0.25">
      <c r="A60" t="s">
        <v>42</v>
      </c>
      <c r="B60" t="str">
        <f>HYPERLINK("https://www.senado.gob.ar/parlamentario/comisiones/verExp/659.25/S/PD","659")</f>
        <v>659</v>
      </c>
      <c r="C60" t="str">
        <f>HYPERLINK("https://www.senado.gob.ar/parlamentario/comisiones/verExp/659.25/S/PD","2025")</f>
        <v>2025</v>
      </c>
      <c r="D60" t="s">
        <v>70</v>
      </c>
      <c r="E60" t="s">
        <v>245</v>
      </c>
      <c r="F60" t="s">
        <v>243</v>
      </c>
      <c r="H60" t="s">
        <v>73</v>
      </c>
      <c r="I60" t="s">
        <v>244</v>
      </c>
      <c r="K60" t="s">
        <v>238</v>
      </c>
      <c r="L60" t="s">
        <v>225</v>
      </c>
      <c r="N60" t="s">
        <v>162</v>
      </c>
      <c r="O60">
        <v>75</v>
      </c>
      <c r="P60" t="s">
        <v>196</v>
      </c>
      <c r="Q60" t="s">
        <v>226</v>
      </c>
      <c r="R60" t="s">
        <v>240</v>
      </c>
      <c r="AI60" t="str">
        <f>HYPERLINK("https://www.senado.gob.ar/parlamentario/parlamentaria/ordenDelDiaResultadoLink/2025/342"," 342 2025 AP -")</f>
        <v xml:space="preserve"> 342 2025 AP -</v>
      </c>
      <c r="AJ60" t="s">
        <v>80</v>
      </c>
      <c r="AK60" t="s">
        <v>55</v>
      </c>
      <c r="AM60" t="s">
        <v>73</v>
      </c>
    </row>
    <row r="61" spans="1:39" x14ac:dyDescent="0.25">
      <c r="A61" t="s">
        <v>42</v>
      </c>
      <c r="B61" t="str">
        <f>HYPERLINK("https://www.senado.gob.ar/parlamentario/comisiones/verExp/653.25/S/PD","653")</f>
        <v>653</v>
      </c>
      <c r="C61" t="str">
        <f>HYPERLINK("https://www.senado.gob.ar/parlamentario/comisiones/verExp/653.25/S/PD","2025")</f>
        <v>2025</v>
      </c>
      <c r="D61" t="s">
        <v>70</v>
      </c>
      <c r="E61" t="s">
        <v>246</v>
      </c>
      <c r="F61" t="s">
        <v>243</v>
      </c>
      <c r="H61" t="s">
        <v>73</v>
      </c>
      <c r="I61" t="s">
        <v>244</v>
      </c>
      <c r="K61" t="s">
        <v>123</v>
      </c>
      <c r="L61" t="s">
        <v>225</v>
      </c>
      <c r="N61" t="s">
        <v>247</v>
      </c>
      <c r="O61">
        <v>75</v>
      </c>
      <c r="P61" t="s">
        <v>196</v>
      </c>
      <c r="Q61" t="s">
        <v>226</v>
      </c>
      <c r="R61" t="s">
        <v>127</v>
      </c>
      <c r="AI61" t="str">
        <f>HYPERLINK("https://www.senado.gob.ar/parlamentario/parlamentaria/ordenDelDiaResultadoLink/2025/520"," 520 2025 AP -")</f>
        <v xml:space="preserve"> 520 2025 AP -</v>
      </c>
      <c r="AJ61" t="s">
        <v>80</v>
      </c>
      <c r="AK61" t="s">
        <v>55</v>
      </c>
      <c r="AM61" t="s">
        <v>73</v>
      </c>
    </row>
    <row r="62" spans="1:39" x14ac:dyDescent="0.25">
      <c r="A62" t="s">
        <v>42</v>
      </c>
      <c r="B62" t="str">
        <f>HYPERLINK("https://www.senado.gob.ar/parlamentario/comisiones/verExp/650.25/S/PD","650")</f>
        <v>650</v>
      </c>
      <c r="C62" t="str">
        <f>HYPERLINK("https://www.senado.gob.ar/parlamentario/comisiones/verExp/650.25/S/PD","2025")</f>
        <v>2025</v>
      </c>
      <c r="D62" t="s">
        <v>70</v>
      </c>
      <c r="E62" t="s">
        <v>248</v>
      </c>
      <c r="F62" t="s">
        <v>243</v>
      </c>
      <c r="H62" t="s">
        <v>171</v>
      </c>
      <c r="I62" t="s">
        <v>249</v>
      </c>
      <c r="K62" t="s">
        <v>172</v>
      </c>
      <c r="L62" t="s">
        <v>225</v>
      </c>
      <c r="N62" t="s">
        <v>110</v>
      </c>
      <c r="O62">
        <v>56</v>
      </c>
      <c r="P62" t="s">
        <v>173</v>
      </c>
      <c r="Q62" t="s">
        <v>226</v>
      </c>
      <c r="R62" t="s">
        <v>174</v>
      </c>
      <c r="AI62" t="str">
        <f>HYPERLINK("https://www.senado.gob.ar/parlamentario/parlamentaria/ordenDelDiaResultadoLink/2025/281"," 281 2025 AP -")</f>
        <v xml:space="preserve"> 281 2025 AP -</v>
      </c>
      <c r="AJ62" t="s">
        <v>80</v>
      </c>
      <c r="AK62" t="s">
        <v>55</v>
      </c>
      <c r="AM62" t="s">
        <v>171</v>
      </c>
    </row>
    <row r="63" spans="1:39" x14ac:dyDescent="0.25">
      <c r="A63" t="s">
        <v>42</v>
      </c>
      <c r="B63" t="str">
        <f>HYPERLINK("https://www.senado.gob.ar/parlamentario/comisiones/verExp/647.25/S/PD","647")</f>
        <v>647</v>
      </c>
      <c r="C63" t="str">
        <f>HYPERLINK("https://www.senado.gob.ar/parlamentario/comisiones/verExp/647.25/S/PD","2025")</f>
        <v>2025</v>
      </c>
      <c r="D63" t="s">
        <v>70</v>
      </c>
      <c r="E63" t="s">
        <v>250</v>
      </c>
      <c r="F63" t="s">
        <v>243</v>
      </c>
      <c r="H63" t="s">
        <v>73</v>
      </c>
      <c r="I63" t="s">
        <v>249</v>
      </c>
      <c r="K63" t="s">
        <v>123</v>
      </c>
      <c r="L63" t="s">
        <v>225</v>
      </c>
      <c r="N63" t="s">
        <v>110</v>
      </c>
      <c r="O63">
        <v>77</v>
      </c>
      <c r="P63" t="s">
        <v>125</v>
      </c>
      <c r="Q63" t="s">
        <v>226</v>
      </c>
      <c r="R63" t="s">
        <v>127</v>
      </c>
      <c r="AI63" t="str">
        <f>HYPERLINK("https://www.senado.gob.ar/parlamentario/parlamentaria/ordenDelDiaResultadoLink/2025/534"," 534 2025 AP -")</f>
        <v xml:space="preserve"> 534 2025 AP -</v>
      </c>
      <c r="AJ63" t="s">
        <v>80</v>
      </c>
      <c r="AK63" t="s">
        <v>55</v>
      </c>
      <c r="AM63" t="s">
        <v>73</v>
      </c>
    </row>
    <row r="64" spans="1:39" x14ac:dyDescent="0.25">
      <c r="A64" t="s">
        <v>42</v>
      </c>
      <c r="B64" t="str">
        <f>HYPERLINK("https://www.senado.gob.ar/parlamentario/comisiones/verExp/646.25/S/PD","646")</f>
        <v>646</v>
      </c>
      <c r="C64" t="str">
        <f>HYPERLINK("https://www.senado.gob.ar/parlamentario/comisiones/verExp/646.25/S/PD","2025")</f>
        <v>2025</v>
      </c>
      <c r="D64" t="s">
        <v>70</v>
      </c>
      <c r="E64" t="s">
        <v>251</v>
      </c>
      <c r="F64" t="s">
        <v>243</v>
      </c>
      <c r="H64" t="s">
        <v>73</v>
      </c>
      <c r="I64" t="s">
        <v>249</v>
      </c>
      <c r="K64" t="s">
        <v>123</v>
      </c>
      <c r="L64" t="s">
        <v>225</v>
      </c>
      <c r="N64" t="s">
        <v>110</v>
      </c>
      <c r="O64">
        <v>77</v>
      </c>
      <c r="P64" t="s">
        <v>125</v>
      </c>
      <c r="Q64" t="s">
        <v>226</v>
      </c>
      <c r="R64" t="s">
        <v>127</v>
      </c>
      <c r="AI64" t="str">
        <f>HYPERLINK("https://www.senado.gob.ar/parlamentario/parlamentaria/ordenDelDiaResultadoLink/2025/533"," 533 2025 AP -")</f>
        <v xml:space="preserve"> 533 2025 AP -</v>
      </c>
      <c r="AJ64" t="s">
        <v>80</v>
      </c>
      <c r="AK64" t="s">
        <v>55</v>
      </c>
      <c r="AM64" t="s">
        <v>73</v>
      </c>
    </row>
    <row r="65" spans="1:39" x14ac:dyDescent="0.25">
      <c r="A65" t="s">
        <v>42</v>
      </c>
      <c r="B65" t="str">
        <f>HYPERLINK("https://www.senado.gob.ar/parlamentario/comisiones/verExp/635.25/S/PD","635")</f>
        <v>635</v>
      </c>
      <c r="C65" t="str">
        <f>HYPERLINK("https://www.senado.gob.ar/parlamentario/comisiones/verExp/635.25/S/PD","2025")</f>
        <v>2025</v>
      </c>
      <c r="D65" t="s">
        <v>70</v>
      </c>
      <c r="E65" t="s">
        <v>252</v>
      </c>
      <c r="F65" t="s">
        <v>253</v>
      </c>
      <c r="H65" t="s">
        <v>73</v>
      </c>
      <c r="I65" t="s">
        <v>254</v>
      </c>
      <c r="K65" t="s">
        <v>123</v>
      </c>
      <c r="L65" t="s">
        <v>225</v>
      </c>
      <c r="N65" t="s">
        <v>119</v>
      </c>
      <c r="O65">
        <v>77</v>
      </c>
      <c r="P65" t="s">
        <v>125</v>
      </c>
      <c r="Q65" t="s">
        <v>226</v>
      </c>
      <c r="R65" t="s">
        <v>127</v>
      </c>
      <c r="AI65" t="str">
        <f>HYPERLINK("https://www.senado.gob.ar/parlamentario/parlamentaria/ordenDelDiaResultadoLink/2025/532"," 532 2025 AP -")</f>
        <v xml:space="preserve"> 532 2025 AP -</v>
      </c>
      <c r="AJ65" t="s">
        <v>80</v>
      </c>
      <c r="AK65" t="s">
        <v>55</v>
      </c>
      <c r="AM65" t="s">
        <v>73</v>
      </c>
    </row>
    <row r="66" spans="1:39" x14ac:dyDescent="0.25">
      <c r="A66" t="s">
        <v>42</v>
      </c>
      <c r="B66" t="str">
        <f>HYPERLINK("https://www.senado.gob.ar/parlamentario/comisiones/verExp/588.25/S/PD","588")</f>
        <v>588</v>
      </c>
      <c r="C66" t="str">
        <f>HYPERLINK("https://www.senado.gob.ar/parlamentario/comisiones/verExp/588.25/S/PD","2025")</f>
        <v>2025</v>
      </c>
      <c r="D66" t="s">
        <v>70</v>
      </c>
      <c r="E66" t="s">
        <v>255</v>
      </c>
      <c r="F66" t="s">
        <v>256</v>
      </c>
      <c r="H66" t="s">
        <v>73</v>
      </c>
      <c r="I66" t="s">
        <v>257</v>
      </c>
      <c r="K66" t="s">
        <v>238</v>
      </c>
      <c r="L66" t="s">
        <v>225</v>
      </c>
      <c r="N66" t="s">
        <v>162</v>
      </c>
      <c r="O66">
        <v>75</v>
      </c>
      <c r="P66" t="s">
        <v>196</v>
      </c>
      <c r="Q66" t="s">
        <v>226</v>
      </c>
      <c r="R66" t="s">
        <v>240</v>
      </c>
      <c r="AI66" t="str">
        <f>HYPERLINK("https://www.senado.gob.ar/parlamentario/parlamentaria/ordenDelDiaResultadoLink/2025/344"," 344 2025 AP -")</f>
        <v xml:space="preserve"> 344 2025 AP -</v>
      </c>
      <c r="AJ66" t="s">
        <v>80</v>
      </c>
      <c r="AK66" t="s">
        <v>55</v>
      </c>
      <c r="AM66" t="s">
        <v>73</v>
      </c>
    </row>
    <row r="67" spans="1:39" x14ac:dyDescent="0.25">
      <c r="A67" t="s">
        <v>42</v>
      </c>
      <c r="B67" t="str">
        <f>HYPERLINK("https://www.senado.gob.ar/parlamentario/comisiones/verExp/583.25/S/PD","583")</f>
        <v>583</v>
      </c>
      <c r="C67" t="str">
        <f>HYPERLINK("https://www.senado.gob.ar/parlamentario/comisiones/verExp/583.25/S/PD","2025")</f>
        <v>2025</v>
      </c>
      <c r="D67" t="s">
        <v>70</v>
      </c>
      <c r="E67" t="s">
        <v>258</v>
      </c>
      <c r="F67" t="s">
        <v>259</v>
      </c>
      <c r="H67" t="s">
        <v>171</v>
      </c>
      <c r="I67" t="s">
        <v>257</v>
      </c>
      <c r="K67" t="s">
        <v>172</v>
      </c>
      <c r="L67" t="s">
        <v>225</v>
      </c>
      <c r="N67" t="s">
        <v>260</v>
      </c>
      <c r="O67">
        <v>56</v>
      </c>
      <c r="P67" t="s">
        <v>173</v>
      </c>
      <c r="Q67" t="s">
        <v>226</v>
      </c>
      <c r="R67" t="s">
        <v>174</v>
      </c>
      <c r="AI67" t="str">
        <f>HYPERLINK("https://www.senado.gob.ar/parlamentario/parlamentaria/ordenDelDiaResultadoLink/2025/281"," 281 2025 AP -")</f>
        <v xml:space="preserve"> 281 2025 AP -</v>
      </c>
      <c r="AJ67" t="s">
        <v>80</v>
      </c>
      <c r="AK67" t="s">
        <v>55</v>
      </c>
      <c r="AM67" t="s">
        <v>171</v>
      </c>
    </row>
    <row r="68" spans="1:39" x14ac:dyDescent="0.25">
      <c r="A68" t="s">
        <v>42</v>
      </c>
      <c r="B68" t="str">
        <f>HYPERLINK("https://www.senado.gob.ar/parlamentario/comisiones/verExp/580.25/S/PD","580")</f>
        <v>580</v>
      </c>
      <c r="C68" t="str">
        <f>HYPERLINK("https://www.senado.gob.ar/parlamentario/comisiones/verExp/580.25/S/PD","2025")</f>
        <v>2025</v>
      </c>
      <c r="D68" t="s">
        <v>70</v>
      </c>
      <c r="E68" t="s">
        <v>261</v>
      </c>
      <c r="F68" t="s">
        <v>259</v>
      </c>
      <c r="H68" t="s">
        <v>73</v>
      </c>
      <c r="I68" t="s">
        <v>262</v>
      </c>
      <c r="K68" t="s">
        <v>228</v>
      </c>
      <c r="L68" t="s">
        <v>225</v>
      </c>
      <c r="N68" t="s">
        <v>166</v>
      </c>
      <c r="O68">
        <v>75</v>
      </c>
      <c r="P68" t="s">
        <v>196</v>
      </c>
      <c r="Q68" t="s">
        <v>226</v>
      </c>
      <c r="R68" t="s">
        <v>229</v>
      </c>
      <c r="AI68" t="str">
        <f>HYPERLINK("https://www.senado.gob.ar/parlamentario/parlamentaria/ordenDelDiaResultadoLink/2025/320"," 320 2025 AP -")</f>
        <v xml:space="preserve"> 320 2025 AP -</v>
      </c>
      <c r="AJ68" t="s">
        <v>80</v>
      </c>
      <c r="AK68" t="s">
        <v>55</v>
      </c>
      <c r="AM68" t="s">
        <v>73</v>
      </c>
    </row>
    <row r="69" spans="1:39" x14ac:dyDescent="0.25">
      <c r="A69" t="s">
        <v>42</v>
      </c>
      <c r="B69" t="str">
        <f>HYPERLINK("https://www.senado.gob.ar/parlamentario/comisiones/verExp/577.25/S/PD","577")</f>
        <v>577</v>
      </c>
      <c r="C69" t="str">
        <f>HYPERLINK("https://www.senado.gob.ar/parlamentario/comisiones/verExp/577.25/S/PD","2025")</f>
        <v>2025</v>
      </c>
      <c r="D69" t="s">
        <v>70</v>
      </c>
      <c r="E69" t="s">
        <v>263</v>
      </c>
      <c r="F69" t="s">
        <v>259</v>
      </c>
      <c r="H69" t="s">
        <v>73</v>
      </c>
      <c r="I69" t="s">
        <v>262</v>
      </c>
      <c r="K69" t="s">
        <v>238</v>
      </c>
      <c r="L69" t="s">
        <v>225</v>
      </c>
      <c r="N69" t="s">
        <v>179</v>
      </c>
      <c r="O69">
        <v>75</v>
      </c>
      <c r="P69" t="s">
        <v>196</v>
      </c>
      <c r="Q69" t="s">
        <v>226</v>
      </c>
      <c r="R69" t="s">
        <v>240</v>
      </c>
      <c r="AI69" t="str">
        <f>HYPERLINK("https://www.senado.gob.ar/parlamentario/parlamentaria/ordenDelDiaResultadoLink/2025/343"," 343 2025 AP -")</f>
        <v xml:space="preserve"> 343 2025 AP -</v>
      </c>
      <c r="AJ69" t="s">
        <v>80</v>
      </c>
      <c r="AK69" t="s">
        <v>55</v>
      </c>
      <c r="AM69" t="s">
        <v>73</v>
      </c>
    </row>
    <row r="70" spans="1:39" x14ac:dyDescent="0.25">
      <c r="A70" t="s">
        <v>42</v>
      </c>
      <c r="B70" t="str">
        <f>HYPERLINK("https://www.senado.gob.ar/parlamentario/comisiones/verExp/576.25/S/PD","576")</f>
        <v>576</v>
      </c>
      <c r="C70" t="str">
        <f>HYPERLINK("https://www.senado.gob.ar/parlamentario/comisiones/verExp/576.25/S/PD","2025")</f>
        <v>2025</v>
      </c>
      <c r="D70" t="s">
        <v>70</v>
      </c>
      <c r="E70" t="s">
        <v>264</v>
      </c>
      <c r="F70" t="s">
        <v>259</v>
      </c>
      <c r="H70" t="s">
        <v>73</v>
      </c>
      <c r="I70" t="s">
        <v>262</v>
      </c>
      <c r="K70" t="s">
        <v>123</v>
      </c>
      <c r="L70" t="s">
        <v>225</v>
      </c>
      <c r="N70" t="s">
        <v>247</v>
      </c>
      <c r="O70">
        <v>75</v>
      </c>
      <c r="P70" t="s">
        <v>196</v>
      </c>
      <c r="Q70" t="s">
        <v>226</v>
      </c>
      <c r="R70" t="s">
        <v>127</v>
      </c>
      <c r="AI70" t="str">
        <f>HYPERLINK("https://www.senado.gob.ar/parlamentario/parlamentaria/ordenDelDiaResultadoLink/2025/521"," 521 2025 AP -")</f>
        <v xml:space="preserve"> 521 2025 AP -</v>
      </c>
      <c r="AJ70" t="s">
        <v>80</v>
      </c>
      <c r="AK70" t="s">
        <v>55</v>
      </c>
      <c r="AM70" t="s">
        <v>73</v>
      </c>
    </row>
    <row r="71" spans="1:39" x14ac:dyDescent="0.25">
      <c r="A71" t="s">
        <v>42</v>
      </c>
      <c r="B71" t="str">
        <f>HYPERLINK("https://www.senado.gob.ar/parlamentario/comisiones/verExp/574.25/S/PD","574")</f>
        <v>574</v>
      </c>
      <c r="C71" t="str">
        <f>HYPERLINK("https://www.senado.gob.ar/parlamentario/comisiones/verExp/574.25/S/PD","2025")</f>
        <v>2025</v>
      </c>
      <c r="D71" t="s">
        <v>70</v>
      </c>
      <c r="E71" t="s">
        <v>265</v>
      </c>
      <c r="F71" t="s">
        <v>259</v>
      </c>
      <c r="H71" t="s">
        <v>73</v>
      </c>
      <c r="I71" t="s">
        <v>262</v>
      </c>
      <c r="K71" t="s">
        <v>238</v>
      </c>
      <c r="L71" t="s">
        <v>225</v>
      </c>
      <c r="N71" t="s">
        <v>266</v>
      </c>
      <c r="O71">
        <v>75</v>
      </c>
      <c r="P71" t="s">
        <v>196</v>
      </c>
      <c r="Q71" t="s">
        <v>226</v>
      </c>
      <c r="R71" t="s">
        <v>240</v>
      </c>
      <c r="AI71" t="str">
        <f>HYPERLINK("https://www.senado.gob.ar/parlamentario/parlamentaria/ordenDelDiaResultadoLink/2025/341"," 341 2025 AP -")</f>
        <v xml:space="preserve"> 341 2025 AP -</v>
      </c>
      <c r="AJ71" t="s">
        <v>80</v>
      </c>
      <c r="AK71" t="s">
        <v>55</v>
      </c>
      <c r="AM71" t="s">
        <v>73</v>
      </c>
    </row>
    <row r="72" spans="1:39" x14ac:dyDescent="0.25">
      <c r="A72" t="s">
        <v>42</v>
      </c>
      <c r="B72" t="str">
        <f>HYPERLINK("https://www.senado.gob.ar/parlamentario/comisiones/verExp/573.25/S/PD","573")</f>
        <v>573</v>
      </c>
      <c r="C72" t="str">
        <f>HYPERLINK("https://www.senado.gob.ar/parlamentario/comisiones/verExp/573.25/S/PD","2025")</f>
        <v>2025</v>
      </c>
      <c r="D72" t="s">
        <v>70</v>
      </c>
      <c r="E72" t="s">
        <v>267</v>
      </c>
      <c r="F72" t="s">
        <v>259</v>
      </c>
      <c r="H72" t="s">
        <v>73</v>
      </c>
      <c r="I72" t="s">
        <v>262</v>
      </c>
      <c r="K72" t="s">
        <v>123</v>
      </c>
      <c r="L72" t="s">
        <v>225</v>
      </c>
      <c r="N72" t="s">
        <v>266</v>
      </c>
      <c r="O72">
        <v>75</v>
      </c>
      <c r="P72" t="s">
        <v>196</v>
      </c>
      <c r="Q72" t="s">
        <v>226</v>
      </c>
      <c r="R72" t="s">
        <v>127</v>
      </c>
      <c r="AI72" t="str">
        <f>HYPERLINK("https://www.senado.gob.ar/parlamentario/parlamentaria/ordenDelDiaResultadoLink/2025/523"," 523 2025 AP -")</f>
        <v xml:space="preserve"> 523 2025 AP -</v>
      </c>
      <c r="AJ72" t="s">
        <v>80</v>
      </c>
      <c r="AK72" t="s">
        <v>55</v>
      </c>
      <c r="AM72" t="s">
        <v>73</v>
      </c>
    </row>
    <row r="73" spans="1:39" x14ac:dyDescent="0.25">
      <c r="A73" t="s">
        <v>42</v>
      </c>
      <c r="B73" t="str">
        <f>HYPERLINK("https://www.senado.gob.ar/parlamentario/comisiones/verExp/569.25/S/PD","569")</f>
        <v>569</v>
      </c>
      <c r="C73" t="str">
        <f>HYPERLINK("https://www.senado.gob.ar/parlamentario/comisiones/verExp/569.25/S/PD","2025")</f>
        <v>2025</v>
      </c>
      <c r="D73" t="s">
        <v>70</v>
      </c>
      <c r="E73" t="s">
        <v>268</v>
      </c>
      <c r="F73" t="s">
        <v>259</v>
      </c>
      <c r="H73" t="s">
        <v>171</v>
      </c>
      <c r="I73" t="s">
        <v>262</v>
      </c>
      <c r="K73" t="s">
        <v>141</v>
      </c>
      <c r="L73" t="s">
        <v>225</v>
      </c>
      <c r="N73" t="s">
        <v>269</v>
      </c>
      <c r="O73">
        <v>74</v>
      </c>
      <c r="P73" t="s">
        <v>78</v>
      </c>
      <c r="Q73" t="s">
        <v>226</v>
      </c>
      <c r="R73" t="s">
        <v>270</v>
      </c>
      <c r="AI73" t="str">
        <f>HYPERLINK("https://www.senado.gob.ar/parlamentario/parlamentaria/ordenDelDiaResultadoLink/2025/221"," 221 2025 AP -")</f>
        <v xml:space="preserve"> 221 2025 AP -</v>
      </c>
      <c r="AJ73" t="s">
        <v>80</v>
      </c>
      <c r="AK73" t="s">
        <v>55</v>
      </c>
      <c r="AM73" t="s">
        <v>171</v>
      </c>
    </row>
    <row r="74" spans="1:39" x14ac:dyDescent="0.25">
      <c r="A74" t="s">
        <v>42</v>
      </c>
      <c r="B74" t="str">
        <f>HYPERLINK("https://www.senado.gob.ar/parlamentario/comisiones/verExp/539.25/S/PD","539")</f>
        <v>539</v>
      </c>
      <c r="C74" t="str">
        <f>HYPERLINK("https://www.senado.gob.ar/parlamentario/comisiones/verExp/539.25/S/PD","2025")</f>
        <v>2025</v>
      </c>
      <c r="D74" t="s">
        <v>70</v>
      </c>
      <c r="E74" t="s">
        <v>271</v>
      </c>
      <c r="F74" t="s">
        <v>272</v>
      </c>
      <c r="H74" t="s">
        <v>171</v>
      </c>
      <c r="I74" t="s">
        <v>273</v>
      </c>
      <c r="K74" t="s">
        <v>172</v>
      </c>
      <c r="L74" t="s">
        <v>262</v>
      </c>
      <c r="N74" t="s">
        <v>260</v>
      </c>
      <c r="O74">
        <v>56</v>
      </c>
      <c r="P74" t="s">
        <v>173</v>
      </c>
      <c r="Q74" t="s">
        <v>274</v>
      </c>
      <c r="R74" t="s">
        <v>174</v>
      </c>
      <c r="AI74" t="str">
        <f>HYPERLINK("https://www.senado.gob.ar/parlamentario/parlamentaria/ordenDelDiaResultadoLink/2025/280"," 280 2025 AP -")</f>
        <v xml:space="preserve"> 280 2025 AP -</v>
      </c>
      <c r="AJ74" t="s">
        <v>80</v>
      </c>
      <c r="AK74" t="s">
        <v>55</v>
      </c>
      <c r="AM74" t="s">
        <v>171</v>
      </c>
    </row>
    <row r="75" spans="1:39" x14ac:dyDescent="0.25">
      <c r="A75" t="s">
        <v>42</v>
      </c>
      <c r="B75" t="str">
        <f>HYPERLINK("https://www.senado.gob.ar/parlamentario/comisiones/verExp/524.25/S/PD","524")</f>
        <v>524</v>
      </c>
      <c r="C75" t="str">
        <f>HYPERLINK("https://www.senado.gob.ar/parlamentario/comisiones/verExp/524.25/S/PD","2025")</f>
        <v>2025</v>
      </c>
      <c r="D75" t="s">
        <v>70</v>
      </c>
      <c r="E75" t="s">
        <v>275</v>
      </c>
      <c r="F75" t="s">
        <v>272</v>
      </c>
      <c r="H75" t="s">
        <v>73</v>
      </c>
      <c r="I75" t="s">
        <v>276</v>
      </c>
      <c r="K75" t="s">
        <v>228</v>
      </c>
      <c r="L75" t="s">
        <v>262</v>
      </c>
      <c r="N75" t="s">
        <v>277</v>
      </c>
      <c r="O75">
        <v>75</v>
      </c>
      <c r="P75" t="s">
        <v>196</v>
      </c>
      <c r="Q75" t="s">
        <v>274</v>
      </c>
      <c r="R75" t="s">
        <v>229</v>
      </c>
      <c r="AI75" t="str">
        <f>HYPERLINK("https://www.senado.gob.ar/parlamentario/parlamentaria/ordenDelDiaResultadoLink/2025/326"," 326 2025 AP -")</f>
        <v xml:space="preserve"> 326 2025 AP -</v>
      </c>
      <c r="AJ75" t="s">
        <v>80</v>
      </c>
      <c r="AK75" t="s">
        <v>55</v>
      </c>
      <c r="AM75" t="s">
        <v>73</v>
      </c>
    </row>
    <row r="76" spans="1:39" x14ac:dyDescent="0.25">
      <c r="A76" t="s">
        <v>42</v>
      </c>
      <c r="B76" t="str">
        <f>HYPERLINK("https://www.senado.gob.ar/parlamentario/comisiones/verExp/518.25/S/PD","518")</f>
        <v>518</v>
      </c>
      <c r="C76" t="str">
        <f>HYPERLINK("https://www.senado.gob.ar/parlamentario/comisiones/verExp/518.25/S/PD","2025")</f>
        <v>2025</v>
      </c>
      <c r="D76" t="s">
        <v>70</v>
      </c>
      <c r="E76" t="s">
        <v>278</v>
      </c>
      <c r="F76" t="s">
        <v>279</v>
      </c>
      <c r="H76" t="s">
        <v>171</v>
      </c>
      <c r="I76" t="s">
        <v>280</v>
      </c>
      <c r="K76" t="s">
        <v>141</v>
      </c>
      <c r="L76" t="s">
        <v>262</v>
      </c>
      <c r="N76" t="s">
        <v>269</v>
      </c>
      <c r="O76">
        <v>74</v>
      </c>
      <c r="P76" t="s">
        <v>78</v>
      </c>
      <c r="Q76" t="s">
        <v>274</v>
      </c>
      <c r="R76" t="s">
        <v>270</v>
      </c>
      <c r="AI76" t="str">
        <f>HYPERLINK("https://www.senado.gob.ar/parlamentario/parlamentaria/ordenDelDiaResultadoLink/2025/220"," 220 2025 AP -")</f>
        <v xml:space="preserve"> 220 2025 AP -</v>
      </c>
      <c r="AJ76" t="s">
        <v>80</v>
      </c>
      <c r="AK76" t="s">
        <v>55</v>
      </c>
      <c r="AM76" t="s">
        <v>171</v>
      </c>
    </row>
    <row r="77" spans="1:39" x14ac:dyDescent="0.25">
      <c r="A77" t="s">
        <v>42</v>
      </c>
      <c r="B77" t="str">
        <f>HYPERLINK("https://www.senado.gob.ar/parlamentario/comisiones/verExp/487.25/S/PD","487")</f>
        <v>487</v>
      </c>
      <c r="C77" t="str">
        <f>HYPERLINK("https://www.senado.gob.ar/parlamentario/comisiones/verExp/487.25/S/PD","2025")</f>
        <v>2025</v>
      </c>
      <c r="D77" t="s">
        <v>70</v>
      </c>
      <c r="E77" t="s">
        <v>281</v>
      </c>
      <c r="F77" t="s">
        <v>282</v>
      </c>
      <c r="H77" t="s">
        <v>73</v>
      </c>
      <c r="I77" t="s">
        <v>283</v>
      </c>
      <c r="K77" t="s">
        <v>238</v>
      </c>
      <c r="L77" t="s">
        <v>262</v>
      </c>
      <c r="N77" t="s">
        <v>284</v>
      </c>
      <c r="O77">
        <v>75</v>
      </c>
      <c r="P77" t="s">
        <v>196</v>
      </c>
      <c r="Q77" t="s">
        <v>274</v>
      </c>
      <c r="R77" t="s">
        <v>240</v>
      </c>
      <c r="AI77" t="str">
        <f>HYPERLINK("https://www.senado.gob.ar/parlamentario/parlamentaria/ordenDelDiaResultadoLink/2025/340"," 340 2025 AP -")</f>
        <v xml:space="preserve"> 340 2025 AP -</v>
      </c>
      <c r="AJ77" t="s">
        <v>80</v>
      </c>
      <c r="AK77" t="s">
        <v>55</v>
      </c>
      <c r="AM77" t="s">
        <v>73</v>
      </c>
    </row>
    <row r="78" spans="1:39" x14ac:dyDescent="0.25">
      <c r="A78" t="s">
        <v>42</v>
      </c>
      <c r="B78" t="str">
        <f>HYPERLINK("https://www.senado.gob.ar/parlamentario/comisiones/verExp/486.25/S/PD","486")</f>
        <v>486</v>
      </c>
      <c r="C78" t="str">
        <f>HYPERLINK("https://www.senado.gob.ar/parlamentario/comisiones/verExp/486.25/S/PD","2025")</f>
        <v>2025</v>
      </c>
      <c r="D78" t="s">
        <v>70</v>
      </c>
      <c r="E78" t="s">
        <v>285</v>
      </c>
      <c r="F78" t="s">
        <v>282</v>
      </c>
      <c r="H78" t="s">
        <v>73</v>
      </c>
      <c r="I78" t="s">
        <v>283</v>
      </c>
      <c r="K78" t="s">
        <v>123</v>
      </c>
      <c r="L78" t="s">
        <v>262</v>
      </c>
      <c r="N78" t="s">
        <v>286</v>
      </c>
      <c r="O78">
        <v>77</v>
      </c>
      <c r="P78" t="s">
        <v>125</v>
      </c>
      <c r="Q78" t="s">
        <v>274</v>
      </c>
      <c r="R78" t="s">
        <v>127</v>
      </c>
      <c r="AI78" t="str">
        <f>HYPERLINK("https://www.senado.gob.ar/parlamentario/parlamentaria/ordenDelDiaResultadoLink/2025/538"," 538 2025 AP -")</f>
        <v xml:space="preserve"> 538 2025 AP -</v>
      </c>
      <c r="AJ78" t="s">
        <v>80</v>
      </c>
      <c r="AK78" t="s">
        <v>55</v>
      </c>
      <c r="AM78" t="s">
        <v>73</v>
      </c>
    </row>
    <row r="79" spans="1:39" x14ac:dyDescent="0.25">
      <c r="A79" t="s">
        <v>42</v>
      </c>
      <c r="B79" t="str">
        <f>HYPERLINK("https://www.senado.gob.ar/parlamentario/comisiones/verExp/480.25/S/PD","480")</f>
        <v>480</v>
      </c>
      <c r="C79" t="str">
        <f>HYPERLINK("https://www.senado.gob.ar/parlamentario/comisiones/verExp/480.25/S/PD","2025")</f>
        <v>2025</v>
      </c>
      <c r="D79" t="s">
        <v>70</v>
      </c>
      <c r="E79" t="s">
        <v>287</v>
      </c>
      <c r="F79" t="s">
        <v>282</v>
      </c>
      <c r="H79" t="s">
        <v>73</v>
      </c>
      <c r="I79" t="s">
        <v>283</v>
      </c>
      <c r="K79" t="s">
        <v>123</v>
      </c>
      <c r="L79" t="s">
        <v>262</v>
      </c>
      <c r="N79" t="s">
        <v>288</v>
      </c>
      <c r="O79">
        <v>75</v>
      </c>
      <c r="P79" t="s">
        <v>196</v>
      </c>
      <c r="Q79" t="s">
        <v>274</v>
      </c>
      <c r="R79" t="s">
        <v>127</v>
      </c>
      <c r="AI79" t="str">
        <f>HYPERLINK("https://www.senado.gob.ar/parlamentario/parlamentaria/ordenDelDiaResultadoLink/2025/522"," 522 2025 AP -")</f>
        <v xml:space="preserve"> 522 2025 AP -</v>
      </c>
      <c r="AJ79" t="s">
        <v>80</v>
      </c>
      <c r="AK79" t="s">
        <v>55</v>
      </c>
      <c r="AM79" t="s">
        <v>73</v>
      </c>
    </row>
    <row r="80" spans="1:39" x14ac:dyDescent="0.25">
      <c r="A80" t="s">
        <v>42</v>
      </c>
      <c r="B80" t="str">
        <f>HYPERLINK("https://www.senado.gob.ar/parlamentario/comisiones/verExp/476.25/S/PD","476")</f>
        <v>476</v>
      </c>
      <c r="C80" t="str">
        <f>HYPERLINK("https://www.senado.gob.ar/parlamentario/comisiones/verExp/476.25/S/PD","2025")</f>
        <v>2025</v>
      </c>
      <c r="D80" t="s">
        <v>70</v>
      </c>
      <c r="E80" t="s">
        <v>289</v>
      </c>
      <c r="F80" t="s">
        <v>290</v>
      </c>
      <c r="H80" t="s">
        <v>171</v>
      </c>
      <c r="I80" t="s">
        <v>291</v>
      </c>
      <c r="K80" t="s">
        <v>141</v>
      </c>
      <c r="L80" t="s">
        <v>262</v>
      </c>
      <c r="N80" t="s">
        <v>162</v>
      </c>
      <c r="O80">
        <v>74</v>
      </c>
      <c r="P80" t="s">
        <v>78</v>
      </c>
      <c r="Q80" t="s">
        <v>274</v>
      </c>
      <c r="R80" t="s">
        <v>270</v>
      </c>
      <c r="AI80" t="str">
        <f>HYPERLINK("https://www.senado.gob.ar/parlamentario/parlamentaria/ordenDelDiaResultadoLink/2025/229"," 229 2025 AP -")</f>
        <v xml:space="preserve"> 229 2025 AP -</v>
      </c>
      <c r="AJ80" t="s">
        <v>80</v>
      </c>
      <c r="AK80" t="s">
        <v>55</v>
      </c>
      <c r="AM80" t="s">
        <v>171</v>
      </c>
    </row>
    <row r="81" spans="1:39" x14ac:dyDescent="0.25">
      <c r="A81" t="s">
        <v>42</v>
      </c>
      <c r="B81" t="str">
        <f>HYPERLINK("https://www.senado.gob.ar/parlamentario/comisiones/verExp/465.25/S/PD","465")</f>
        <v>465</v>
      </c>
      <c r="C81" t="str">
        <f>HYPERLINK("https://www.senado.gob.ar/parlamentario/comisiones/verExp/465.25/S/PD","2025")</f>
        <v>2025</v>
      </c>
      <c r="D81" t="s">
        <v>70</v>
      </c>
      <c r="E81" t="s">
        <v>292</v>
      </c>
      <c r="F81" t="s">
        <v>290</v>
      </c>
      <c r="H81" t="s">
        <v>73</v>
      </c>
      <c r="I81" t="s">
        <v>291</v>
      </c>
      <c r="K81" t="s">
        <v>123</v>
      </c>
      <c r="L81" t="s">
        <v>262</v>
      </c>
      <c r="N81" t="s">
        <v>231</v>
      </c>
      <c r="O81">
        <v>77</v>
      </c>
      <c r="P81" t="s">
        <v>125</v>
      </c>
      <c r="Q81" t="s">
        <v>274</v>
      </c>
      <c r="R81" t="s">
        <v>127</v>
      </c>
      <c r="AI81" t="str">
        <f>HYPERLINK("https://www.senado.gob.ar/parlamentario/parlamentaria/ordenDelDiaResultadoLink/2025/531"," 531 2025 AP -")</f>
        <v xml:space="preserve"> 531 2025 AP -</v>
      </c>
      <c r="AJ81" t="s">
        <v>80</v>
      </c>
      <c r="AK81" t="s">
        <v>55</v>
      </c>
      <c r="AM81" t="s">
        <v>73</v>
      </c>
    </row>
    <row r="82" spans="1:39" x14ac:dyDescent="0.25">
      <c r="A82" t="s">
        <v>42</v>
      </c>
      <c r="B82" t="str">
        <f>HYPERLINK("https://www.senado.gob.ar/parlamentario/comisiones/verExp/460.25/S/PD","460")</f>
        <v>460</v>
      </c>
      <c r="C82" t="str">
        <f>HYPERLINK("https://www.senado.gob.ar/parlamentario/comisiones/verExp/460.25/S/PD","2025")</f>
        <v>2025</v>
      </c>
      <c r="D82" t="s">
        <v>70</v>
      </c>
      <c r="E82" t="s">
        <v>293</v>
      </c>
      <c r="F82" t="s">
        <v>290</v>
      </c>
      <c r="H82" t="s">
        <v>171</v>
      </c>
      <c r="I82" t="s">
        <v>294</v>
      </c>
      <c r="K82" t="s">
        <v>141</v>
      </c>
      <c r="L82" t="s">
        <v>262</v>
      </c>
      <c r="N82" t="s">
        <v>110</v>
      </c>
      <c r="O82">
        <v>74</v>
      </c>
      <c r="P82" t="s">
        <v>78</v>
      </c>
      <c r="Q82" t="s">
        <v>274</v>
      </c>
      <c r="R82" t="s">
        <v>270</v>
      </c>
      <c r="AI82" t="str">
        <f>HYPERLINK("https://www.senado.gob.ar/parlamentario/parlamentaria/ordenDelDiaResultadoLink/2025/219"," 219 2025 AP -")</f>
        <v xml:space="preserve"> 219 2025 AP -</v>
      </c>
      <c r="AJ82" t="s">
        <v>80</v>
      </c>
      <c r="AK82" t="s">
        <v>55</v>
      </c>
      <c r="AM82" t="s">
        <v>171</v>
      </c>
    </row>
    <row r="83" spans="1:39" x14ac:dyDescent="0.25">
      <c r="A83" t="s">
        <v>42</v>
      </c>
      <c r="B83" t="str">
        <f>HYPERLINK("https://www.senado.gob.ar/parlamentario/comisiones/verExp/458.25/S/PD","458")</f>
        <v>458</v>
      </c>
      <c r="C83" t="str">
        <f>HYPERLINK("https://www.senado.gob.ar/parlamentario/comisiones/verExp/458.25/S/PD","2025")</f>
        <v>2025</v>
      </c>
      <c r="D83" t="s">
        <v>70</v>
      </c>
      <c r="E83" t="s">
        <v>295</v>
      </c>
      <c r="F83" t="s">
        <v>290</v>
      </c>
      <c r="H83" t="s">
        <v>171</v>
      </c>
      <c r="I83" t="s">
        <v>294</v>
      </c>
      <c r="K83" t="s">
        <v>141</v>
      </c>
      <c r="L83" t="s">
        <v>262</v>
      </c>
      <c r="N83" t="s">
        <v>110</v>
      </c>
      <c r="O83">
        <v>74</v>
      </c>
      <c r="P83" t="s">
        <v>78</v>
      </c>
      <c r="Q83" t="s">
        <v>274</v>
      </c>
      <c r="R83" t="s">
        <v>270</v>
      </c>
      <c r="AI83" t="str">
        <f>HYPERLINK("https://www.senado.gob.ar/parlamentario/parlamentaria/ordenDelDiaResultadoLink/2025/218"," 218 2025 AP -")</f>
        <v xml:space="preserve"> 218 2025 AP -</v>
      </c>
      <c r="AJ83" t="s">
        <v>80</v>
      </c>
      <c r="AK83" t="s">
        <v>55</v>
      </c>
      <c r="AM83" t="s">
        <v>171</v>
      </c>
    </row>
    <row r="84" spans="1:39" x14ac:dyDescent="0.25">
      <c r="A84" t="s">
        <v>42</v>
      </c>
      <c r="B84" t="str">
        <f>HYPERLINK("https://www.senado.gob.ar/parlamentario/comisiones/verExp/456.25/S/PD","456")</f>
        <v>456</v>
      </c>
      <c r="C84" t="str">
        <f>HYPERLINK("https://www.senado.gob.ar/parlamentario/comisiones/verExp/456.25/S/PD","2025")</f>
        <v>2025</v>
      </c>
      <c r="D84" t="s">
        <v>70</v>
      </c>
      <c r="E84" t="s">
        <v>296</v>
      </c>
      <c r="F84" t="s">
        <v>297</v>
      </c>
      <c r="H84" t="s">
        <v>73</v>
      </c>
      <c r="I84" t="s">
        <v>294</v>
      </c>
      <c r="K84" t="s">
        <v>76</v>
      </c>
      <c r="L84" t="s">
        <v>262</v>
      </c>
      <c r="N84" t="s">
        <v>110</v>
      </c>
      <c r="O84">
        <v>76</v>
      </c>
      <c r="P84" t="s">
        <v>103</v>
      </c>
      <c r="Q84" t="s">
        <v>274</v>
      </c>
      <c r="R84" t="s">
        <v>64</v>
      </c>
      <c r="AI84" t="str">
        <f>HYPERLINK("https://www.senado.gob.ar/parlamentario/parlamentaria/ordenDelDiaResultadoLink/2025/369"," 369 2025 AP -")</f>
        <v xml:space="preserve"> 369 2025 AP -</v>
      </c>
      <c r="AJ84" t="s">
        <v>80</v>
      </c>
      <c r="AK84" t="s">
        <v>55</v>
      </c>
      <c r="AM84" t="s">
        <v>73</v>
      </c>
    </row>
    <row r="85" spans="1:39" x14ac:dyDescent="0.25">
      <c r="A85" t="s">
        <v>42</v>
      </c>
      <c r="B85" t="str">
        <f>HYPERLINK("https://www.senado.gob.ar/parlamentario/comisiones/verExp/453.25/S/PD","453")</f>
        <v>453</v>
      </c>
      <c r="C85" t="str">
        <f>HYPERLINK("https://www.senado.gob.ar/parlamentario/comisiones/verExp/453.25/S/PD","2025")</f>
        <v>2025</v>
      </c>
      <c r="D85" t="s">
        <v>70</v>
      </c>
      <c r="E85" t="s">
        <v>298</v>
      </c>
      <c r="F85" t="s">
        <v>297</v>
      </c>
      <c r="H85" t="s">
        <v>171</v>
      </c>
      <c r="I85" t="s">
        <v>294</v>
      </c>
      <c r="K85" t="s">
        <v>157</v>
      </c>
      <c r="L85" t="s">
        <v>262</v>
      </c>
      <c r="N85" t="s">
        <v>110</v>
      </c>
      <c r="O85">
        <v>78</v>
      </c>
      <c r="P85" t="s">
        <v>188</v>
      </c>
      <c r="Q85" t="s">
        <v>274</v>
      </c>
      <c r="R85" t="s">
        <v>299</v>
      </c>
      <c r="AI85" t="str">
        <f>HYPERLINK("https://www.senado.gob.ar/parlamentario/parlamentaria/ordenDelDiaResultadoLink/2025/210"," 210 2025 AP -")</f>
        <v xml:space="preserve"> 210 2025 AP -</v>
      </c>
      <c r="AJ85" t="s">
        <v>80</v>
      </c>
      <c r="AK85" t="s">
        <v>55</v>
      </c>
      <c r="AM85" t="s">
        <v>171</v>
      </c>
    </row>
    <row r="86" spans="1:39" x14ac:dyDescent="0.25">
      <c r="A86" t="s">
        <v>42</v>
      </c>
      <c r="B86" t="str">
        <f>HYPERLINK("https://www.senado.gob.ar/parlamentario/comisiones/verExp/450.25/S/PD","450")</f>
        <v>450</v>
      </c>
      <c r="C86" t="str">
        <f>HYPERLINK("https://www.senado.gob.ar/parlamentario/comisiones/verExp/450.25/S/PD","2025")</f>
        <v>2025</v>
      </c>
      <c r="D86" t="s">
        <v>70</v>
      </c>
      <c r="E86" t="s">
        <v>300</v>
      </c>
      <c r="F86" t="s">
        <v>297</v>
      </c>
      <c r="H86" t="s">
        <v>73</v>
      </c>
      <c r="I86" t="s">
        <v>294</v>
      </c>
      <c r="K86" t="s">
        <v>228</v>
      </c>
      <c r="L86" t="s">
        <v>294</v>
      </c>
      <c r="N86" t="s">
        <v>239</v>
      </c>
      <c r="O86">
        <v>75</v>
      </c>
      <c r="P86" t="s">
        <v>196</v>
      </c>
      <c r="Q86" t="s">
        <v>301</v>
      </c>
      <c r="R86" t="s">
        <v>229</v>
      </c>
      <c r="AI86" t="str">
        <f>HYPERLINK("https://www.senado.gob.ar/parlamentario/parlamentaria/ordenDelDiaResultadoLink/2025/325"," 325 2025 AP -")</f>
        <v xml:space="preserve"> 325 2025 AP -</v>
      </c>
      <c r="AJ86" t="s">
        <v>80</v>
      </c>
      <c r="AK86" t="s">
        <v>55</v>
      </c>
      <c r="AM86" t="s">
        <v>73</v>
      </c>
    </row>
    <row r="87" spans="1:39" x14ac:dyDescent="0.25">
      <c r="A87" t="s">
        <v>42</v>
      </c>
      <c r="B87" t="str">
        <f>HYPERLINK("https://www.senado.gob.ar/parlamentario/comisiones/verExp/426.25/S/PD","426")</f>
        <v>426</v>
      </c>
      <c r="C87" t="str">
        <f>HYPERLINK("https://www.senado.gob.ar/parlamentario/comisiones/verExp/426.25/S/PD","2025")</f>
        <v>2025</v>
      </c>
      <c r="D87" t="s">
        <v>70</v>
      </c>
      <c r="E87" t="s">
        <v>302</v>
      </c>
      <c r="F87" t="s">
        <v>303</v>
      </c>
      <c r="H87" t="s">
        <v>171</v>
      </c>
      <c r="I87" t="s">
        <v>304</v>
      </c>
      <c r="K87" t="s">
        <v>206</v>
      </c>
      <c r="L87" t="s">
        <v>294</v>
      </c>
      <c r="N87" t="s">
        <v>77</v>
      </c>
      <c r="O87">
        <v>75</v>
      </c>
      <c r="P87" t="s">
        <v>196</v>
      </c>
      <c r="Q87" t="s">
        <v>305</v>
      </c>
      <c r="R87" t="s">
        <v>91</v>
      </c>
      <c r="AI87" t="str">
        <f>HYPERLINK("https://www.senado.gob.ar/parlamentario/parlamentaria/ordenDelDiaResultadoLink/2025/314"," 314 2025 AP -")</f>
        <v xml:space="preserve"> 314 2025 AP -</v>
      </c>
      <c r="AJ87" t="s">
        <v>80</v>
      </c>
      <c r="AK87" t="s">
        <v>55</v>
      </c>
      <c r="AM87" t="s">
        <v>171</v>
      </c>
    </row>
    <row r="88" spans="1:39" x14ac:dyDescent="0.25">
      <c r="A88" t="s">
        <v>42</v>
      </c>
      <c r="B88" t="str">
        <f>HYPERLINK("https://www.senado.gob.ar/parlamentario/comisiones/verExp/425.25/S/PD","425")</f>
        <v>425</v>
      </c>
      <c r="C88" t="str">
        <f>HYPERLINK("https://www.senado.gob.ar/parlamentario/comisiones/verExp/425.25/S/PD","2025")</f>
        <v>2025</v>
      </c>
      <c r="D88" t="s">
        <v>70</v>
      </c>
      <c r="E88" t="s">
        <v>306</v>
      </c>
      <c r="F88" t="s">
        <v>303</v>
      </c>
      <c r="H88" t="s">
        <v>171</v>
      </c>
      <c r="I88" t="s">
        <v>304</v>
      </c>
      <c r="K88" t="s">
        <v>141</v>
      </c>
      <c r="L88" t="s">
        <v>294</v>
      </c>
      <c r="N88" t="s">
        <v>77</v>
      </c>
      <c r="O88">
        <v>74</v>
      </c>
      <c r="P88" t="s">
        <v>78</v>
      </c>
      <c r="Q88" t="s">
        <v>305</v>
      </c>
      <c r="R88" t="s">
        <v>270</v>
      </c>
      <c r="AI88" t="str">
        <f>HYPERLINK("https://www.senado.gob.ar/parlamentario/parlamentaria/ordenDelDiaResultadoLink/2025/217"," 217 2025 AP -")</f>
        <v xml:space="preserve"> 217 2025 AP -</v>
      </c>
      <c r="AJ88" t="s">
        <v>80</v>
      </c>
      <c r="AK88" t="s">
        <v>55</v>
      </c>
      <c r="AM88" t="s">
        <v>171</v>
      </c>
    </row>
    <row r="89" spans="1:39" x14ac:dyDescent="0.25">
      <c r="A89" t="s">
        <v>42</v>
      </c>
      <c r="B89" t="str">
        <f>HYPERLINK("https://www.senado.gob.ar/parlamentario/comisiones/verExp/424.25/S/PD","424")</f>
        <v>424</v>
      </c>
      <c r="C89" t="str">
        <f>HYPERLINK("https://www.senado.gob.ar/parlamentario/comisiones/verExp/424.25/S/PD","2025")</f>
        <v>2025</v>
      </c>
      <c r="D89" t="s">
        <v>70</v>
      </c>
      <c r="E89" t="s">
        <v>307</v>
      </c>
      <c r="F89" t="s">
        <v>303</v>
      </c>
      <c r="H89" t="s">
        <v>73</v>
      </c>
      <c r="I89" t="s">
        <v>304</v>
      </c>
      <c r="K89" t="s">
        <v>238</v>
      </c>
      <c r="L89" t="s">
        <v>294</v>
      </c>
      <c r="N89" t="s">
        <v>77</v>
      </c>
      <c r="O89">
        <v>75</v>
      </c>
      <c r="P89" t="s">
        <v>196</v>
      </c>
      <c r="Q89" t="s">
        <v>305</v>
      </c>
      <c r="R89" t="s">
        <v>240</v>
      </c>
      <c r="AI89" t="str">
        <f>HYPERLINK("https://www.senado.gob.ar/parlamentario/parlamentaria/ordenDelDiaResultadoLink/2025/339"," 339 2025 AP -")</f>
        <v xml:space="preserve"> 339 2025 AP -</v>
      </c>
      <c r="AJ89" t="s">
        <v>80</v>
      </c>
      <c r="AK89" t="s">
        <v>55</v>
      </c>
      <c r="AM89" t="s">
        <v>73</v>
      </c>
    </row>
    <row r="90" spans="1:39" x14ac:dyDescent="0.25">
      <c r="A90" t="s">
        <v>42</v>
      </c>
      <c r="B90" t="str">
        <f>HYPERLINK("https://www.senado.gob.ar/parlamentario/comisiones/verExp/422.25/S/PD","422")</f>
        <v>422</v>
      </c>
      <c r="C90" t="str">
        <f>HYPERLINK("https://www.senado.gob.ar/parlamentario/comisiones/verExp/422.25/S/PD","2025")</f>
        <v>2025</v>
      </c>
      <c r="D90" t="s">
        <v>70</v>
      </c>
      <c r="E90" t="s">
        <v>308</v>
      </c>
      <c r="F90" t="s">
        <v>303</v>
      </c>
      <c r="H90" t="s">
        <v>73</v>
      </c>
      <c r="I90" t="s">
        <v>304</v>
      </c>
      <c r="K90" t="s">
        <v>238</v>
      </c>
      <c r="L90" t="s">
        <v>294</v>
      </c>
      <c r="N90" t="s">
        <v>77</v>
      </c>
      <c r="O90">
        <v>75</v>
      </c>
      <c r="P90" t="s">
        <v>196</v>
      </c>
      <c r="Q90" t="s">
        <v>305</v>
      </c>
      <c r="R90" t="s">
        <v>240</v>
      </c>
      <c r="AI90" t="str">
        <f>HYPERLINK("https://www.senado.gob.ar/parlamentario/parlamentaria/ordenDelDiaResultadoLink/2025/338"," 338 2025 AP -")</f>
        <v xml:space="preserve"> 338 2025 AP -</v>
      </c>
      <c r="AJ90" t="s">
        <v>80</v>
      </c>
      <c r="AK90" t="s">
        <v>55</v>
      </c>
      <c r="AM90" t="s">
        <v>73</v>
      </c>
    </row>
    <row r="91" spans="1:39" x14ac:dyDescent="0.25">
      <c r="A91" t="s">
        <v>42</v>
      </c>
      <c r="B91" t="str">
        <f>HYPERLINK("https://www.senado.gob.ar/parlamentario/comisiones/verExp/418.25/S/PD","418")</f>
        <v>418</v>
      </c>
      <c r="C91" t="str">
        <f>HYPERLINK("https://www.senado.gob.ar/parlamentario/comisiones/verExp/418.25/S/PD","2025")</f>
        <v>2025</v>
      </c>
      <c r="D91" t="s">
        <v>70</v>
      </c>
      <c r="E91" t="s">
        <v>309</v>
      </c>
      <c r="F91" t="s">
        <v>310</v>
      </c>
      <c r="H91" t="s">
        <v>73</v>
      </c>
      <c r="I91" t="s">
        <v>304</v>
      </c>
      <c r="K91" t="s">
        <v>238</v>
      </c>
      <c r="L91" t="s">
        <v>294</v>
      </c>
      <c r="N91" t="s">
        <v>311</v>
      </c>
      <c r="O91">
        <v>75</v>
      </c>
      <c r="P91" t="s">
        <v>196</v>
      </c>
      <c r="Q91" t="s">
        <v>305</v>
      </c>
      <c r="R91" t="s">
        <v>240</v>
      </c>
      <c r="AI91" t="str">
        <f>HYPERLINK("https://www.senado.gob.ar/parlamentario/parlamentaria/ordenDelDiaResultadoLink/2025/337"," 337 2025 AP -")</f>
        <v xml:space="preserve"> 337 2025 AP -</v>
      </c>
      <c r="AJ91" t="s">
        <v>80</v>
      </c>
      <c r="AK91" t="s">
        <v>55</v>
      </c>
      <c r="AM91" t="s">
        <v>73</v>
      </c>
    </row>
    <row r="92" spans="1:39" x14ac:dyDescent="0.25">
      <c r="A92" t="s">
        <v>42</v>
      </c>
      <c r="B92" t="str">
        <f>HYPERLINK("https://www.senado.gob.ar/parlamentario/comisiones/verExp/416.25/S/PD","416")</f>
        <v>416</v>
      </c>
      <c r="C92" t="str">
        <f>HYPERLINK("https://www.senado.gob.ar/parlamentario/comisiones/verExp/416.25/S/PD","2025")</f>
        <v>2025</v>
      </c>
      <c r="D92" t="s">
        <v>70</v>
      </c>
      <c r="E92" t="s">
        <v>312</v>
      </c>
      <c r="F92" t="s">
        <v>310</v>
      </c>
      <c r="H92" t="s">
        <v>171</v>
      </c>
      <c r="I92" t="s">
        <v>304</v>
      </c>
      <c r="K92" t="s">
        <v>141</v>
      </c>
      <c r="L92" t="s">
        <v>294</v>
      </c>
      <c r="N92" t="s">
        <v>313</v>
      </c>
      <c r="O92">
        <v>74</v>
      </c>
      <c r="P92" t="s">
        <v>78</v>
      </c>
      <c r="Q92" t="s">
        <v>301</v>
      </c>
      <c r="R92" t="s">
        <v>270</v>
      </c>
      <c r="AI92" t="str">
        <f>HYPERLINK("https://www.senado.gob.ar/parlamentario/parlamentaria/ordenDelDiaResultadoLink/2025/231"," 231 2025 AP -")</f>
        <v xml:space="preserve"> 231 2025 AP -</v>
      </c>
      <c r="AJ92" t="s">
        <v>80</v>
      </c>
      <c r="AK92" t="s">
        <v>55</v>
      </c>
      <c r="AM92" t="s">
        <v>171</v>
      </c>
    </row>
    <row r="93" spans="1:39" x14ac:dyDescent="0.25">
      <c r="A93" t="s">
        <v>42</v>
      </c>
      <c r="B93" t="str">
        <f>HYPERLINK("https://www.senado.gob.ar/parlamentario/comisiones/verExp/369.25/S/PD","369")</f>
        <v>369</v>
      </c>
      <c r="C93" t="str">
        <f>HYPERLINK("https://www.senado.gob.ar/parlamentario/comisiones/verExp/369.25/S/PD","2025")</f>
        <v>2025</v>
      </c>
      <c r="D93" t="s">
        <v>70</v>
      </c>
      <c r="E93" t="s">
        <v>314</v>
      </c>
      <c r="F93" t="s">
        <v>315</v>
      </c>
      <c r="H93" t="s">
        <v>73</v>
      </c>
      <c r="I93" t="s">
        <v>316</v>
      </c>
      <c r="K93" t="s">
        <v>228</v>
      </c>
      <c r="L93" t="s">
        <v>294</v>
      </c>
      <c r="N93" t="s">
        <v>317</v>
      </c>
      <c r="O93">
        <v>75</v>
      </c>
      <c r="P93" t="s">
        <v>196</v>
      </c>
      <c r="Q93" t="s">
        <v>301</v>
      </c>
      <c r="R93" t="s">
        <v>229</v>
      </c>
      <c r="AI93" t="str">
        <f>HYPERLINK("https://www.senado.gob.ar/parlamentario/parlamentaria/ordenDelDiaResultadoLink/2025/324"," 324 2025 AP -")</f>
        <v xml:space="preserve"> 324 2025 AP -</v>
      </c>
      <c r="AJ93" t="s">
        <v>80</v>
      </c>
      <c r="AK93" t="s">
        <v>55</v>
      </c>
      <c r="AM93" t="s">
        <v>73</v>
      </c>
    </row>
    <row r="94" spans="1:39" x14ac:dyDescent="0.25">
      <c r="A94" t="s">
        <v>42</v>
      </c>
      <c r="B94" t="str">
        <f>HYPERLINK("https://www.senado.gob.ar/parlamentario/comisiones/verExp/354.25/S/PD","354")</f>
        <v>354</v>
      </c>
      <c r="C94" t="str">
        <f>HYPERLINK("https://www.senado.gob.ar/parlamentario/comisiones/verExp/354.25/S/PD","2025")</f>
        <v>2025</v>
      </c>
      <c r="D94" t="s">
        <v>70</v>
      </c>
      <c r="E94" t="s">
        <v>318</v>
      </c>
      <c r="F94" t="s">
        <v>319</v>
      </c>
      <c r="H94" t="s">
        <v>73</v>
      </c>
      <c r="I94" t="s">
        <v>320</v>
      </c>
      <c r="K94" t="s">
        <v>123</v>
      </c>
      <c r="L94" t="s">
        <v>294</v>
      </c>
      <c r="N94" t="s">
        <v>269</v>
      </c>
      <c r="O94">
        <v>77</v>
      </c>
      <c r="P94" t="s">
        <v>125</v>
      </c>
      <c r="Q94" t="s">
        <v>301</v>
      </c>
      <c r="R94" t="s">
        <v>127</v>
      </c>
      <c r="AI94" t="str">
        <f>HYPERLINK("https://www.senado.gob.ar/parlamentario/parlamentaria/ordenDelDiaResultadoLink/2025/530"," 530 2025 AP -")</f>
        <v xml:space="preserve"> 530 2025 AP -</v>
      </c>
      <c r="AJ94" t="s">
        <v>80</v>
      </c>
      <c r="AK94" t="s">
        <v>55</v>
      </c>
      <c r="AM94" t="s">
        <v>73</v>
      </c>
    </row>
    <row r="95" spans="1:39" x14ac:dyDescent="0.25">
      <c r="A95" t="s">
        <v>42</v>
      </c>
      <c r="B95" t="str">
        <f>HYPERLINK("https://www.senado.gob.ar/parlamentario/comisiones/verExp/353.25/S/PD","353")</f>
        <v>353</v>
      </c>
      <c r="C95" t="str">
        <f>HYPERLINK("https://www.senado.gob.ar/parlamentario/comisiones/verExp/353.25/S/PD","2025")</f>
        <v>2025</v>
      </c>
      <c r="D95" t="s">
        <v>70</v>
      </c>
      <c r="E95" t="s">
        <v>321</v>
      </c>
      <c r="F95" t="s">
        <v>319</v>
      </c>
      <c r="H95" t="s">
        <v>73</v>
      </c>
      <c r="I95" t="s">
        <v>320</v>
      </c>
      <c r="K95" t="s">
        <v>228</v>
      </c>
      <c r="L95" t="s">
        <v>294</v>
      </c>
      <c r="N95" t="s">
        <v>269</v>
      </c>
      <c r="O95">
        <v>75</v>
      </c>
      <c r="P95" t="s">
        <v>196</v>
      </c>
      <c r="Q95" t="s">
        <v>301</v>
      </c>
      <c r="R95" t="s">
        <v>229</v>
      </c>
      <c r="AI95" t="str">
        <f>HYPERLINK("https://www.senado.gob.ar/parlamentario/parlamentaria/ordenDelDiaResultadoLink/2025/323"," 323 2025 AP -")</f>
        <v xml:space="preserve"> 323 2025 AP -</v>
      </c>
      <c r="AJ95" t="s">
        <v>80</v>
      </c>
      <c r="AK95" t="s">
        <v>55</v>
      </c>
      <c r="AM95" t="s">
        <v>73</v>
      </c>
    </row>
    <row r="96" spans="1:39" x14ac:dyDescent="0.25">
      <c r="A96" t="s">
        <v>42</v>
      </c>
      <c r="B96" t="str">
        <f>HYPERLINK("https://www.senado.gob.ar/parlamentario/comisiones/verExp/332.25/S/PD","332")</f>
        <v>332</v>
      </c>
      <c r="C96" t="str">
        <f>HYPERLINK("https://www.senado.gob.ar/parlamentario/comisiones/verExp/332.25/S/PD","2025")</f>
        <v>2025</v>
      </c>
      <c r="D96" t="s">
        <v>70</v>
      </c>
      <c r="E96" t="s">
        <v>322</v>
      </c>
      <c r="F96" t="s">
        <v>323</v>
      </c>
      <c r="H96" t="s">
        <v>73</v>
      </c>
      <c r="I96" t="s">
        <v>324</v>
      </c>
      <c r="K96" t="s">
        <v>123</v>
      </c>
      <c r="L96" t="s">
        <v>294</v>
      </c>
      <c r="N96" t="s">
        <v>231</v>
      </c>
      <c r="O96">
        <v>77</v>
      </c>
      <c r="P96" t="s">
        <v>125</v>
      </c>
      <c r="Q96" t="s">
        <v>301</v>
      </c>
      <c r="R96" t="s">
        <v>127</v>
      </c>
      <c r="AI96" t="str">
        <f>HYPERLINK("https://www.senado.gob.ar/parlamentario/parlamentaria/ordenDelDiaResultadoLink/2025/529"," 529 2025 AP -")</f>
        <v xml:space="preserve"> 529 2025 AP -</v>
      </c>
      <c r="AJ96" t="s">
        <v>80</v>
      </c>
      <c r="AK96" t="s">
        <v>55</v>
      </c>
      <c r="AM96" t="s">
        <v>73</v>
      </c>
    </row>
    <row r="97" spans="1:39" x14ac:dyDescent="0.25">
      <c r="A97" t="s">
        <v>42</v>
      </c>
      <c r="B97" t="str">
        <f>HYPERLINK("https://www.senado.gob.ar/parlamentario/comisiones/verExp/331.25/S/PD","331")</f>
        <v>331</v>
      </c>
      <c r="C97" t="str">
        <f>HYPERLINK("https://www.senado.gob.ar/parlamentario/comisiones/verExp/331.25/S/PD","2025")</f>
        <v>2025</v>
      </c>
      <c r="D97" t="s">
        <v>70</v>
      </c>
      <c r="E97" t="s">
        <v>325</v>
      </c>
      <c r="F97" t="s">
        <v>323</v>
      </c>
      <c r="H97" t="s">
        <v>73</v>
      </c>
      <c r="I97" t="s">
        <v>326</v>
      </c>
      <c r="K97" t="s">
        <v>123</v>
      </c>
      <c r="L97" t="s">
        <v>294</v>
      </c>
      <c r="N97" t="s">
        <v>110</v>
      </c>
      <c r="O97">
        <v>77</v>
      </c>
      <c r="P97" t="s">
        <v>125</v>
      </c>
      <c r="Q97" t="s">
        <v>301</v>
      </c>
      <c r="R97" t="s">
        <v>127</v>
      </c>
      <c r="AI97" t="str">
        <f>HYPERLINK("https://www.senado.gob.ar/parlamentario/parlamentaria/ordenDelDiaResultadoLink/2025/528"," 528 2025 AP -")</f>
        <v xml:space="preserve"> 528 2025 AP -</v>
      </c>
      <c r="AJ97" t="s">
        <v>80</v>
      </c>
      <c r="AK97" t="s">
        <v>55</v>
      </c>
      <c r="AM97" t="s">
        <v>73</v>
      </c>
    </row>
    <row r="98" spans="1:39" x14ac:dyDescent="0.25">
      <c r="A98" t="s">
        <v>42</v>
      </c>
      <c r="B98" t="str">
        <f>HYPERLINK("https://www.senado.gob.ar/parlamentario/comisiones/verExp/303.25/S/PL","303")</f>
        <v>303</v>
      </c>
      <c r="C98" t="str">
        <f>HYPERLINK("https://www.senado.gob.ar/parlamentario/comisiones/verExp/303.25/S/PL","2025")</f>
        <v>2025</v>
      </c>
      <c r="D98" t="s">
        <v>56</v>
      </c>
      <c r="E98" t="s">
        <v>327</v>
      </c>
      <c r="F98" t="s">
        <v>328</v>
      </c>
      <c r="I98" t="s">
        <v>329</v>
      </c>
      <c r="K98" t="s">
        <v>48</v>
      </c>
      <c r="L98" t="s">
        <v>294</v>
      </c>
      <c r="M98" t="s">
        <v>330</v>
      </c>
      <c r="N98" t="s">
        <v>331</v>
      </c>
      <c r="O98">
        <v>54</v>
      </c>
      <c r="P98" t="s">
        <v>90</v>
      </c>
      <c r="Q98" t="s">
        <v>301</v>
      </c>
      <c r="R98" t="s">
        <v>332</v>
      </c>
      <c r="AI98" t="str">
        <f>HYPERLINK("","")</f>
        <v/>
      </c>
      <c r="AJ98" t="s">
        <v>333</v>
      </c>
      <c r="AK98" t="s">
        <v>55</v>
      </c>
    </row>
    <row r="99" spans="1:39" x14ac:dyDescent="0.25">
      <c r="A99" t="s">
        <v>334</v>
      </c>
      <c r="B99" t="str">
        <f>HYPERLINK("https://www.senado.gob.ar/parlamentario/comisiones/verExp/302.25/OV/CV","302")</f>
        <v>302</v>
      </c>
      <c r="C99" t="str">
        <f>HYPERLINK("https://www.senado.gob.ar/parlamentario/comisiones/verExp/302.25/OV/CV","2025")</f>
        <v>2025</v>
      </c>
      <c r="D99" t="s">
        <v>335</v>
      </c>
      <c r="E99" t="s">
        <v>336</v>
      </c>
      <c r="F99" t="s">
        <v>337</v>
      </c>
      <c r="H99" t="s">
        <v>338</v>
      </c>
      <c r="I99" t="s">
        <v>339</v>
      </c>
      <c r="K99" t="s">
        <v>340</v>
      </c>
      <c r="L99" t="s">
        <v>341</v>
      </c>
      <c r="O99">
        <v>50</v>
      </c>
      <c r="P99" t="s">
        <v>63</v>
      </c>
      <c r="Q99" t="s">
        <v>342</v>
      </c>
      <c r="R99" t="s">
        <v>343</v>
      </c>
      <c r="AI99" t="str">
        <f>HYPERLINK("https://www.senado.gob.ar/parlamentario/parlamentaria/ordenDelDiaResultadoLink/2025/679"," 679 2025 AP -")</f>
        <v xml:space="preserve"> 679 2025 AP -</v>
      </c>
      <c r="AJ99" t="s">
        <v>344</v>
      </c>
      <c r="AK99" t="s">
        <v>55</v>
      </c>
      <c r="AM99" t="s">
        <v>338</v>
      </c>
    </row>
    <row r="100" spans="1:39" x14ac:dyDescent="0.25">
      <c r="A100" t="s">
        <v>334</v>
      </c>
      <c r="B100" t="str">
        <f>HYPERLINK("https://www.senado.gob.ar/parlamentario/comisiones/verExp/301.25/OV/CV","301")</f>
        <v>301</v>
      </c>
      <c r="C100" t="str">
        <f>HYPERLINK("https://www.senado.gob.ar/parlamentario/comisiones/verExp/301.25/OV/CV","2025")</f>
        <v>2025</v>
      </c>
      <c r="D100" t="s">
        <v>335</v>
      </c>
      <c r="E100" t="s">
        <v>345</v>
      </c>
      <c r="F100" t="s">
        <v>337</v>
      </c>
      <c r="H100" t="s">
        <v>338</v>
      </c>
      <c r="I100" t="s">
        <v>346</v>
      </c>
      <c r="K100" t="s">
        <v>340</v>
      </c>
      <c r="L100" t="s">
        <v>347</v>
      </c>
      <c r="O100">
        <v>50</v>
      </c>
      <c r="P100" t="s">
        <v>63</v>
      </c>
      <c r="Q100" t="s">
        <v>348</v>
      </c>
      <c r="R100" t="s">
        <v>343</v>
      </c>
      <c r="AI100" t="str">
        <f>HYPERLINK("https://www.senado.gob.ar/parlamentario/parlamentaria/ordenDelDiaResultadoLink/2025/679"," 679 2025 AP -")</f>
        <v xml:space="preserve"> 679 2025 AP -</v>
      </c>
      <c r="AJ100" t="s">
        <v>344</v>
      </c>
      <c r="AK100" t="s">
        <v>55</v>
      </c>
      <c r="AM100" t="s">
        <v>338</v>
      </c>
    </row>
    <row r="101" spans="1:39" x14ac:dyDescent="0.25">
      <c r="A101" t="s">
        <v>334</v>
      </c>
      <c r="B101" t="str">
        <f>HYPERLINK("https://www.senado.gob.ar/parlamentario/comisiones/verExp/300.25/OV/CV","300")</f>
        <v>300</v>
      </c>
      <c r="C101" t="str">
        <f>HYPERLINK("https://www.senado.gob.ar/parlamentario/comisiones/verExp/300.25/OV/CV","2025")</f>
        <v>2025</v>
      </c>
      <c r="D101" t="s">
        <v>335</v>
      </c>
      <c r="E101" t="s">
        <v>349</v>
      </c>
      <c r="F101" t="s">
        <v>337</v>
      </c>
      <c r="H101" t="s">
        <v>338</v>
      </c>
      <c r="I101" t="s">
        <v>346</v>
      </c>
      <c r="K101" t="s">
        <v>340</v>
      </c>
      <c r="L101" t="s">
        <v>347</v>
      </c>
      <c r="O101">
        <v>50</v>
      </c>
      <c r="P101" t="s">
        <v>63</v>
      </c>
      <c r="Q101" t="s">
        <v>348</v>
      </c>
      <c r="R101" t="s">
        <v>343</v>
      </c>
      <c r="AI101" t="str">
        <f>HYPERLINK("https://www.senado.gob.ar/parlamentario/parlamentaria/ordenDelDiaResultadoLink/2025/679"," 679 2025 AP -")</f>
        <v xml:space="preserve"> 679 2025 AP -</v>
      </c>
      <c r="AJ101" t="s">
        <v>344</v>
      </c>
      <c r="AK101" t="s">
        <v>55</v>
      </c>
      <c r="AM101" t="s">
        <v>338</v>
      </c>
    </row>
    <row r="102" spans="1:39" x14ac:dyDescent="0.25">
      <c r="A102" t="s">
        <v>334</v>
      </c>
      <c r="B102" t="str">
        <f>HYPERLINK("https://www.senado.gob.ar/parlamentario/comisiones/verExp/299.25/OV/CV","299")</f>
        <v>299</v>
      </c>
      <c r="C102" t="str">
        <f>HYPERLINK("https://www.senado.gob.ar/parlamentario/comisiones/verExp/299.25/OV/CV","2025")</f>
        <v>2025</v>
      </c>
      <c r="D102" t="s">
        <v>335</v>
      </c>
      <c r="E102" t="s">
        <v>350</v>
      </c>
      <c r="F102" t="s">
        <v>337</v>
      </c>
      <c r="H102" t="s">
        <v>338</v>
      </c>
      <c r="I102" t="s">
        <v>346</v>
      </c>
      <c r="K102" t="s">
        <v>340</v>
      </c>
      <c r="L102" t="s">
        <v>347</v>
      </c>
      <c r="O102">
        <v>50</v>
      </c>
      <c r="P102" t="s">
        <v>63</v>
      </c>
      <c r="Q102" t="s">
        <v>348</v>
      </c>
      <c r="R102" t="s">
        <v>343</v>
      </c>
      <c r="AI102" t="str">
        <f>HYPERLINK("https://www.senado.gob.ar/parlamentario/parlamentaria/ordenDelDiaResultadoLink/2025/679"," 679 2025 AP -")</f>
        <v xml:space="preserve"> 679 2025 AP -</v>
      </c>
      <c r="AJ102" t="s">
        <v>344</v>
      </c>
      <c r="AK102" t="s">
        <v>55</v>
      </c>
      <c r="AM102" t="s">
        <v>338</v>
      </c>
    </row>
    <row r="103" spans="1:39" x14ac:dyDescent="0.25">
      <c r="A103" t="s">
        <v>42</v>
      </c>
      <c r="B103" t="str">
        <f>HYPERLINK("https://www.senado.gob.ar/parlamentario/comisiones/verExp/299.25/S/PC","299")</f>
        <v>299</v>
      </c>
      <c r="C103" t="str">
        <f>HYPERLINK("https://www.senado.gob.ar/parlamentario/comisiones/verExp/299.25/S/PC","2025")</f>
        <v>2025</v>
      </c>
      <c r="D103" t="s">
        <v>351</v>
      </c>
      <c r="E103" t="s">
        <v>352</v>
      </c>
      <c r="F103" t="s">
        <v>353</v>
      </c>
      <c r="H103" t="s">
        <v>73</v>
      </c>
      <c r="I103" t="s">
        <v>329</v>
      </c>
      <c r="K103" t="s">
        <v>210</v>
      </c>
      <c r="L103" t="s">
        <v>326</v>
      </c>
      <c r="N103" t="s">
        <v>354</v>
      </c>
      <c r="O103">
        <v>59</v>
      </c>
      <c r="P103" t="s">
        <v>211</v>
      </c>
      <c r="Q103" t="s">
        <v>355</v>
      </c>
      <c r="R103" t="s">
        <v>212</v>
      </c>
      <c r="AI103" t="str">
        <f>HYPERLINK("https://www.senado.gob.ar/parlamentario/parlamentaria/ordenDelDiaResultadoLink/2025/454"," 454 2025 AP -")</f>
        <v xml:space="preserve"> 454 2025 AP -</v>
      </c>
      <c r="AJ103" t="s">
        <v>80</v>
      </c>
      <c r="AK103" t="s">
        <v>55</v>
      </c>
      <c r="AM103" t="s">
        <v>73</v>
      </c>
    </row>
    <row r="104" spans="1:39" x14ac:dyDescent="0.25">
      <c r="A104" t="s">
        <v>334</v>
      </c>
      <c r="B104" t="str">
        <f>HYPERLINK("https://www.senado.gob.ar/parlamentario/comisiones/verExp/290.25/OV/CV","290")</f>
        <v>290</v>
      </c>
      <c r="C104" t="str">
        <f>HYPERLINK("https://www.senado.gob.ar/parlamentario/comisiones/verExp/290.25/OV/CV","2025")</f>
        <v>2025</v>
      </c>
      <c r="D104" t="s">
        <v>335</v>
      </c>
      <c r="E104" t="s">
        <v>356</v>
      </c>
      <c r="F104" t="s">
        <v>337</v>
      </c>
      <c r="H104" t="s">
        <v>338</v>
      </c>
      <c r="I104" t="s">
        <v>357</v>
      </c>
      <c r="K104" t="s">
        <v>358</v>
      </c>
      <c r="L104" t="s">
        <v>359</v>
      </c>
      <c r="O104">
        <v>50</v>
      </c>
      <c r="P104" t="s">
        <v>63</v>
      </c>
      <c r="Q104" t="s">
        <v>360</v>
      </c>
      <c r="R104" t="s">
        <v>343</v>
      </c>
      <c r="AI104" t="str">
        <f>HYPERLINK("https://www.senado.gob.ar/parlamentario/parlamentaria/ordenDelDiaResultadoLink/2025/679"," 679 2025 AP -")</f>
        <v xml:space="preserve"> 679 2025 AP -</v>
      </c>
      <c r="AJ104" t="s">
        <v>344</v>
      </c>
      <c r="AK104" t="s">
        <v>55</v>
      </c>
      <c r="AM104" t="s">
        <v>338</v>
      </c>
    </row>
    <row r="105" spans="1:39" x14ac:dyDescent="0.25">
      <c r="A105" t="s">
        <v>334</v>
      </c>
      <c r="B105" t="str">
        <f>HYPERLINK("https://www.senado.gob.ar/parlamentario/comisiones/verExp/288.25/OV/CV","288")</f>
        <v>288</v>
      </c>
      <c r="C105" t="str">
        <f>HYPERLINK("https://www.senado.gob.ar/parlamentario/comisiones/verExp/288.25/OV/CV","2025")</f>
        <v>2025</v>
      </c>
      <c r="D105" t="s">
        <v>335</v>
      </c>
      <c r="E105" t="s">
        <v>361</v>
      </c>
      <c r="F105" t="s">
        <v>337</v>
      </c>
      <c r="H105" t="s">
        <v>338</v>
      </c>
      <c r="I105" t="s">
        <v>362</v>
      </c>
      <c r="K105" t="s">
        <v>358</v>
      </c>
      <c r="L105" t="s">
        <v>359</v>
      </c>
      <c r="O105">
        <v>50</v>
      </c>
      <c r="P105" t="s">
        <v>63</v>
      </c>
      <c r="Q105" t="s">
        <v>360</v>
      </c>
      <c r="R105" t="s">
        <v>343</v>
      </c>
      <c r="AI105" t="str">
        <f>HYPERLINK("https://www.senado.gob.ar/parlamentario/parlamentaria/ordenDelDiaResultadoLink/2025/679"," 679 2025 AP -")</f>
        <v xml:space="preserve"> 679 2025 AP -</v>
      </c>
      <c r="AJ105" t="s">
        <v>344</v>
      </c>
      <c r="AK105" t="s">
        <v>55</v>
      </c>
      <c r="AM105" t="s">
        <v>338</v>
      </c>
    </row>
    <row r="106" spans="1:39" x14ac:dyDescent="0.25">
      <c r="A106" t="s">
        <v>334</v>
      </c>
      <c r="B106" t="str">
        <f>HYPERLINK("https://www.senado.gob.ar/parlamentario/comisiones/verExp/287.25/OV/CV","287")</f>
        <v>287</v>
      </c>
      <c r="C106" t="str">
        <f>HYPERLINK("https://www.senado.gob.ar/parlamentario/comisiones/verExp/287.25/OV/CV","2025")</f>
        <v>2025</v>
      </c>
      <c r="D106" t="s">
        <v>335</v>
      </c>
      <c r="E106" t="s">
        <v>363</v>
      </c>
      <c r="F106" t="s">
        <v>337</v>
      </c>
      <c r="H106" t="s">
        <v>338</v>
      </c>
      <c r="I106" t="s">
        <v>362</v>
      </c>
      <c r="K106" t="s">
        <v>358</v>
      </c>
      <c r="L106" t="s">
        <v>359</v>
      </c>
      <c r="O106">
        <v>50</v>
      </c>
      <c r="P106" t="s">
        <v>63</v>
      </c>
      <c r="Q106" t="s">
        <v>360</v>
      </c>
      <c r="R106" t="s">
        <v>343</v>
      </c>
      <c r="AI106" t="str">
        <f>HYPERLINK("https://www.senado.gob.ar/parlamentario/parlamentaria/ordenDelDiaResultadoLink/2025/679"," 679 2025 AP -")</f>
        <v xml:space="preserve"> 679 2025 AP -</v>
      </c>
      <c r="AJ106" t="s">
        <v>344</v>
      </c>
      <c r="AK106" t="s">
        <v>55</v>
      </c>
      <c r="AM106" t="s">
        <v>338</v>
      </c>
    </row>
    <row r="107" spans="1:39" x14ac:dyDescent="0.25">
      <c r="A107" t="s">
        <v>42</v>
      </c>
      <c r="B107" t="str">
        <f>HYPERLINK("https://www.senado.gob.ar/parlamentario/comisiones/verExp/281.25/S/PD","281")</f>
        <v>281</v>
      </c>
      <c r="C107" t="str">
        <f>HYPERLINK("https://www.senado.gob.ar/parlamentario/comisiones/verExp/281.25/S/PD","2025")</f>
        <v>2025</v>
      </c>
      <c r="D107" t="s">
        <v>70</v>
      </c>
      <c r="E107" t="s">
        <v>364</v>
      </c>
      <c r="F107" t="s">
        <v>353</v>
      </c>
      <c r="H107" t="s">
        <v>73</v>
      </c>
      <c r="I107" t="s">
        <v>365</v>
      </c>
      <c r="K107" t="s">
        <v>238</v>
      </c>
      <c r="L107" t="s">
        <v>326</v>
      </c>
      <c r="N107" t="s">
        <v>106</v>
      </c>
      <c r="O107">
        <v>75</v>
      </c>
      <c r="P107" t="s">
        <v>196</v>
      </c>
      <c r="Q107" t="s">
        <v>355</v>
      </c>
      <c r="R107" t="s">
        <v>240</v>
      </c>
      <c r="AI107" t="str">
        <f>HYPERLINK("https://www.senado.gob.ar/parlamentario/parlamentaria/ordenDelDiaResultadoLink/2025/336"," 336 2025 AP -")</f>
        <v xml:space="preserve"> 336 2025 AP -</v>
      </c>
      <c r="AJ107" t="s">
        <v>80</v>
      </c>
      <c r="AK107" t="s">
        <v>55</v>
      </c>
      <c r="AM107" t="s">
        <v>73</v>
      </c>
    </row>
    <row r="108" spans="1:39" x14ac:dyDescent="0.25">
      <c r="A108" t="s">
        <v>42</v>
      </c>
      <c r="B108" t="str">
        <f>HYPERLINK("https://www.senado.gob.ar/parlamentario/comisiones/verExp/280.25/S/PD","280")</f>
        <v>280</v>
      </c>
      <c r="C108" t="str">
        <f>HYPERLINK("https://www.senado.gob.ar/parlamentario/comisiones/verExp/280.25/S/PD","2025")</f>
        <v>2025</v>
      </c>
      <c r="D108" t="s">
        <v>70</v>
      </c>
      <c r="E108" t="s">
        <v>366</v>
      </c>
      <c r="F108" t="s">
        <v>353</v>
      </c>
      <c r="H108" t="s">
        <v>73</v>
      </c>
      <c r="I108" t="s">
        <v>365</v>
      </c>
      <c r="K108" t="s">
        <v>228</v>
      </c>
      <c r="L108" t="s">
        <v>326</v>
      </c>
      <c r="N108" t="s">
        <v>129</v>
      </c>
      <c r="O108">
        <v>75</v>
      </c>
      <c r="P108" t="s">
        <v>196</v>
      </c>
      <c r="Q108" t="s">
        <v>355</v>
      </c>
      <c r="R108" t="s">
        <v>229</v>
      </c>
      <c r="AI108" t="str">
        <f>HYPERLINK("https://www.senado.gob.ar/parlamentario/parlamentaria/ordenDelDiaResultadoLink/2025/322"," 322 2025 AP -")</f>
        <v xml:space="preserve"> 322 2025 AP -</v>
      </c>
      <c r="AJ108" t="s">
        <v>80</v>
      </c>
      <c r="AK108" t="s">
        <v>55</v>
      </c>
      <c r="AM108" t="s">
        <v>73</v>
      </c>
    </row>
    <row r="109" spans="1:39" x14ac:dyDescent="0.25">
      <c r="A109" t="s">
        <v>42</v>
      </c>
      <c r="B109" t="str">
        <f>HYPERLINK("https://www.senado.gob.ar/parlamentario/comisiones/verExp/274.25/S/PD","274")</f>
        <v>274</v>
      </c>
      <c r="C109" t="str">
        <f>HYPERLINK("https://www.senado.gob.ar/parlamentario/comisiones/verExp/274.25/S/PD","2025")</f>
        <v>2025</v>
      </c>
      <c r="D109" t="s">
        <v>70</v>
      </c>
      <c r="E109" t="s">
        <v>367</v>
      </c>
      <c r="F109" t="s">
        <v>368</v>
      </c>
      <c r="H109" t="s">
        <v>73</v>
      </c>
      <c r="I109" t="s">
        <v>365</v>
      </c>
      <c r="K109" t="s">
        <v>369</v>
      </c>
      <c r="L109" t="s">
        <v>326</v>
      </c>
      <c r="N109" t="s">
        <v>203</v>
      </c>
      <c r="O109">
        <v>76</v>
      </c>
      <c r="P109" t="s">
        <v>103</v>
      </c>
      <c r="Q109" t="s">
        <v>355</v>
      </c>
      <c r="R109" t="s">
        <v>370</v>
      </c>
      <c r="AI109" t="str">
        <f>HYPERLINK("https://www.senado.gob.ar/parlamentario/parlamentaria/ordenDelDiaResultadoLink/2025/422"," 422 2025 AP -")</f>
        <v xml:space="preserve"> 422 2025 AP -</v>
      </c>
      <c r="AJ109" t="s">
        <v>80</v>
      </c>
      <c r="AK109" t="s">
        <v>55</v>
      </c>
      <c r="AM109" t="s">
        <v>73</v>
      </c>
    </row>
    <row r="110" spans="1:39" x14ac:dyDescent="0.25">
      <c r="A110" t="s">
        <v>42</v>
      </c>
      <c r="B110" t="str">
        <f>HYPERLINK("https://www.senado.gob.ar/parlamentario/comisiones/verExp/271.25/S/PD","271")</f>
        <v>271</v>
      </c>
      <c r="C110" t="str">
        <f>HYPERLINK("https://www.senado.gob.ar/parlamentario/comisiones/verExp/271.25/S/PD","2025")</f>
        <v>2025</v>
      </c>
      <c r="D110" t="s">
        <v>70</v>
      </c>
      <c r="E110" t="s">
        <v>371</v>
      </c>
      <c r="F110" t="s">
        <v>368</v>
      </c>
      <c r="H110" t="s">
        <v>73</v>
      </c>
      <c r="I110" t="s">
        <v>365</v>
      </c>
      <c r="K110" t="s">
        <v>123</v>
      </c>
      <c r="L110" t="s">
        <v>326</v>
      </c>
      <c r="N110" t="s">
        <v>158</v>
      </c>
      <c r="O110">
        <v>75</v>
      </c>
      <c r="P110" t="s">
        <v>196</v>
      </c>
      <c r="Q110" t="s">
        <v>355</v>
      </c>
      <c r="R110" t="s">
        <v>127</v>
      </c>
      <c r="AI110" t="str">
        <f>HYPERLINK("https://www.senado.gob.ar/parlamentario/parlamentaria/ordenDelDiaResultadoLink/2025/519"," 519 2025 AP -")</f>
        <v xml:space="preserve"> 519 2025 AP -</v>
      </c>
      <c r="AJ110" t="s">
        <v>80</v>
      </c>
      <c r="AK110" t="s">
        <v>55</v>
      </c>
      <c r="AM110" t="s">
        <v>73</v>
      </c>
    </row>
    <row r="111" spans="1:39" x14ac:dyDescent="0.25">
      <c r="A111" t="s">
        <v>42</v>
      </c>
      <c r="B111" t="str">
        <f>HYPERLINK("https://www.senado.gob.ar/parlamentario/comisiones/verExp/265.25/S/PD","265")</f>
        <v>265</v>
      </c>
      <c r="C111" t="str">
        <f>HYPERLINK("https://www.senado.gob.ar/parlamentario/comisiones/verExp/265.25/S/PD","2025")</f>
        <v>2025</v>
      </c>
      <c r="D111" t="s">
        <v>70</v>
      </c>
      <c r="E111" t="s">
        <v>372</v>
      </c>
      <c r="F111" t="s">
        <v>368</v>
      </c>
      <c r="H111" t="s">
        <v>73</v>
      </c>
      <c r="I111" t="s">
        <v>373</v>
      </c>
      <c r="K111" t="s">
        <v>123</v>
      </c>
      <c r="L111" t="s">
        <v>326</v>
      </c>
      <c r="N111" t="s">
        <v>110</v>
      </c>
      <c r="O111">
        <v>77</v>
      </c>
      <c r="P111" t="s">
        <v>125</v>
      </c>
      <c r="Q111" t="s">
        <v>355</v>
      </c>
      <c r="R111" t="s">
        <v>127</v>
      </c>
      <c r="AI111" t="str">
        <f>HYPERLINK("https://www.senado.gob.ar/parlamentario/parlamentaria/ordenDelDiaResultadoLink/2025/539"," 539 2025 AP -")</f>
        <v xml:space="preserve"> 539 2025 AP -</v>
      </c>
      <c r="AJ111" t="s">
        <v>80</v>
      </c>
      <c r="AK111" t="s">
        <v>55</v>
      </c>
      <c r="AM111" t="s">
        <v>73</v>
      </c>
    </row>
    <row r="112" spans="1:39" x14ac:dyDescent="0.25">
      <c r="A112" t="s">
        <v>42</v>
      </c>
      <c r="B112" t="str">
        <f>HYPERLINK("https://www.senado.gob.ar/parlamentario/comisiones/verExp/237.25/S/PD","237")</f>
        <v>237</v>
      </c>
      <c r="C112" t="str">
        <f>HYPERLINK("https://www.senado.gob.ar/parlamentario/comisiones/verExp/237.25/S/PD","2025")</f>
        <v>2025</v>
      </c>
      <c r="D112" t="s">
        <v>70</v>
      </c>
      <c r="E112" t="s">
        <v>374</v>
      </c>
      <c r="F112" t="s">
        <v>375</v>
      </c>
      <c r="H112" t="s">
        <v>73</v>
      </c>
      <c r="I112" t="s">
        <v>376</v>
      </c>
      <c r="K112" t="s">
        <v>123</v>
      </c>
      <c r="L112" t="s">
        <v>326</v>
      </c>
      <c r="N112" t="s">
        <v>354</v>
      </c>
      <c r="O112">
        <v>75</v>
      </c>
      <c r="P112" t="s">
        <v>196</v>
      </c>
      <c r="Q112" t="s">
        <v>355</v>
      </c>
      <c r="R112" t="s">
        <v>127</v>
      </c>
      <c r="AI112" t="str">
        <f>HYPERLINK("https://www.senado.gob.ar/parlamentario/parlamentaria/ordenDelDiaResultadoLink/2025/518"," 518 2025 AP -")</f>
        <v xml:space="preserve"> 518 2025 AP -</v>
      </c>
      <c r="AJ112" t="s">
        <v>80</v>
      </c>
      <c r="AK112" t="s">
        <v>55</v>
      </c>
      <c r="AM112" t="s">
        <v>73</v>
      </c>
    </row>
    <row r="113" spans="1:39" x14ac:dyDescent="0.25">
      <c r="A113" t="s">
        <v>42</v>
      </c>
      <c r="B113" t="str">
        <f>HYPERLINK("https://www.senado.gob.ar/parlamentario/comisiones/verExp/232.25/S/PD","232")</f>
        <v>232</v>
      </c>
      <c r="C113" t="str">
        <f>HYPERLINK("https://www.senado.gob.ar/parlamentario/comisiones/verExp/232.25/S/PD","2025")</f>
        <v>2025</v>
      </c>
      <c r="D113" t="s">
        <v>70</v>
      </c>
      <c r="E113" t="s">
        <v>377</v>
      </c>
      <c r="F113" t="s">
        <v>375</v>
      </c>
      <c r="H113" t="s">
        <v>73</v>
      </c>
      <c r="I113" t="s">
        <v>378</v>
      </c>
      <c r="K113" t="s">
        <v>238</v>
      </c>
      <c r="L113" t="s">
        <v>326</v>
      </c>
      <c r="N113" t="s">
        <v>379</v>
      </c>
      <c r="O113">
        <v>75</v>
      </c>
      <c r="P113" t="s">
        <v>196</v>
      </c>
      <c r="Q113" t="s">
        <v>355</v>
      </c>
      <c r="R113" t="s">
        <v>240</v>
      </c>
      <c r="AI113" t="str">
        <f>HYPERLINK("https://www.senado.gob.ar/parlamentario/parlamentaria/ordenDelDiaResultadoLink/2025/335"," 335 2025 AP -")</f>
        <v xml:space="preserve"> 335 2025 AP -</v>
      </c>
      <c r="AJ113" t="s">
        <v>80</v>
      </c>
      <c r="AK113" t="s">
        <v>55</v>
      </c>
      <c r="AM113" t="s">
        <v>73</v>
      </c>
    </row>
    <row r="114" spans="1:39" x14ac:dyDescent="0.25">
      <c r="A114" t="s">
        <v>42</v>
      </c>
      <c r="B114" t="str">
        <f>HYPERLINK("https://www.senado.gob.ar/parlamentario/comisiones/verExp/226.25/S/PD","226")</f>
        <v>226</v>
      </c>
      <c r="C114" t="str">
        <f>HYPERLINK("https://www.senado.gob.ar/parlamentario/comisiones/verExp/226.25/S/PD","2025")</f>
        <v>2025</v>
      </c>
      <c r="D114" t="s">
        <v>70</v>
      </c>
      <c r="E114" t="s">
        <v>380</v>
      </c>
      <c r="F114" t="s">
        <v>375</v>
      </c>
      <c r="H114" t="s">
        <v>73</v>
      </c>
      <c r="I114" t="s">
        <v>378</v>
      </c>
      <c r="K114" t="s">
        <v>76</v>
      </c>
      <c r="L114" t="s">
        <v>326</v>
      </c>
      <c r="N114" t="s">
        <v>203</v>
      </c>
      <c r="O114">
        <v>76</v>
      </c>
      <c r="P114" t="s">
        <v>103</v>
      </c>
      <c r="Q114" t="s">
        <v>355</v>
      </c>
      <c r="R114" t="s">
        <v>64</v>
      </c>
      <c r="AI114" t="str">
        <f>HYPERLINK("https://www.senado.gob.ar/parlamentario/parlamentaria/ordenDelDiaResultadoLink/2025/359"," 359 2025 AP -")</f>
        <v xml:space="preserve"> 359 2025 AP -</v>
      </c>
      <c r="AJ114" t="s">
        <v>80</v>
      </c>
      <c r="AK114" t="s">
        <v>55</v>
      </c>
      <c r="AM114" t="s">
        <v>73</v>
      </c>
    </row>
    <row r="115" spans="1:39" x14ac:dyDescent="0.25">
      <c r="A115" t="s">
        <v>42</v>
      </c>
      <c r="B115" t="str">
        <f>HYPERLINK("https://www.senado.gob.ar/parlamentario/comisiones/verExp/225.25/S/PD","225")</f>
        <v>225</v>
      </c>
      <c r="C115" t="str">
        <f>HYPERLINK("https://www.senado.gob.ar/parlamentario/comisiones/verExp/225.25/S/PD","2025")</f>
        <v>2025</v>
      </c>
      <c r="D115" t="s">
        <v>70</v>
      </c>
      <c r="E115" t="s">
        <v>381</v>
      </c>
      <c r="F115" t="s">
        <v>375</v>
      </c>
      <c r="H115" t="s">
        <v>73</v>
      </c>
      <c r="I115" t="s">
        <v>378</v>
      </c>
      <c r="K115" t="s">
        <v>76</v>
      </c>
      <c r="L115" t="s">
        <v>326</v>
      </c>
      <c r="N115" t="s">
        <v>379</v>
      </c>
      <c r="O115">
        <v>76</v>
      </c>
      <c r="P115" t="s">
        <v>103</v>
      </c>
      <c r="Q115" t="s">
        <v>355</v>
      </c>
      <c r="R115" t="s">
        <v>64</v>
      </c>
      <c r="AI115" t="str">
        <f>HYPERLINK("https://www.senado.gob.ar/parlamentario/parlamentaria/ordenDelDiaResultadoLink/2025/359"," 359 2025 AP -")</f>
        <v xml:space="preserve"> 359 2025 AP -</v>
      </c>
      <c r="AJ115" t="s">
        <v>80</v>
      </c>
      <c r="AK115" t="s">
        <v>55</v>
      </c>
      <c r="AM115" t="s">
        <v>73</v>
      </c>
    </row>
    <row r="116" spans="1:39" x14ac:dyDescent="0.25">
      <c r="A116" t="s">
        <v>42</v>
      </c>
      <c r="B116" t="str">
        <f>HYPERLINK("https://www.senado.gob.ar/parlamentario/comisiones/verExp/215.25/S/PD","215")</f>
        <v>215</v>
      </c>
      <c r="C116" t="str">
        <f>HYPERLINK("https://www.senado.gob.ar/parlamentario/comisiones/verExp/215.25/S/PD","2025")</f>
        <v>2025</v>
      </c>
      <c r="D116" t="s">
        <v>70</v>
      </c>
      <c r="E116" t="s">
        <v>382</v>
      </c>
      <c r="F116" t="s">
        <v>383</v>
      </c>
      <c r="H116" t="s">
        <v>73</v>
      </c>
      <c r="I116" t="s">
        <v>378</v>
      </c>
      <c r="K116" t="s">
        <v>228</v>
      </c>
      <c r="L116" t="s">
        <v>326</v>
      </c>
      <c r="N116" t="s">
        <v>260</v>
      </c>
      <c r="O116">
        <v>75</v>
      </c>
      <c r="P116" t="s">
        <v>196</v>
      </c>
      <c r="Q116" t="s">
        <v>355</v>
      </c>
      <c r="R116" t="s">
        <v>229</v>
      </c>
      <c r="AI116" t="str">
        <f>HYPERLINK("https://www.senado.gob.ar/parlamentario/parlamentaria/ordenDelDiaResultadoLink/2025/321"," 321 2025 AP -")</f>
        <v xml:space="preserve"> 321 2025 AP -</v>
      </c>
      <c r="AJ116" t="s">
        <v>80</v>
      </c>
      <c r="AK116" t="s">
        <v>55</v>
      </c>
      <c r="AM116" t="s">
        <v>73</v>
      </c>
    </row>
    <row r="117" spans="1:39" x14ac:dyDescent="0.25">
      <c r="A117" t="s">
        <v>42</v>
      </c>
      <c r="B117" t="str">
        <f>HYPERLINK("https://www.senado.gob.ar/parlamentario/comisiones/verExp/198.25/S/PD","198")</f>
        <v>198</v>
      </c>
      <c r="C117" t="str">
        <f>HYPERLINK("https://www.senado.gob.ar/parlamentario/comisiones/verExp/198.25/S/PD","2025")</f>
        <v>2025</v>
      </c>
      <c r="D117" t="s">
        <v>70</v>
      </c>
      <c r="E117" t="s">
        <v>384</v>
      </c>
      <c r="F117" t="s">
        <v>385</v>
      </c>
      <c r="H117" t="s">
        <v>171</v>
      </c>
      <c r="I117" t="s">
        <v>378</v>
      </c>
      <c r="K117" t="s">
        <v>206</v>
      </c>
      <c r="L117" t="s">
        <v>326</v>
      </c>
      <c r="N117" t="s">
        <v>386</v>
      </c>
      <c r="O117">
        <v>75</v>
      </c>
      <c r="P117" t="s">
        <v>196</v>
      </c>
      <c r="Q117" t="s">
        <v>355</v>
      </c>
      <c r="R117" t="s">
        <v>91</v>
      </c>
      <c r="AI117" t="str">
        <f>HYPERLINK("https://www.senado.gob.ar/parlamentario/parlamentaria/ordenDelDiaResultadoLink/2025/313"," 313 2025 AP -")</f>
        <v xml:space="preserve"> 313 2025 AP -</v>
      </c>
      <c r="AJ117" t="s">
        <v>80</v>
      </c>
      <c r="AK117" t="s">
        <v>55</v>
      </c>
      <c r="AM117" t="s">
        <v>171</v>
      </c>
    </row>
    <row r="118" spans="1:39" x14ac:dyDescent="0.25">
      <c r="A118" t="s">
        <v>42</v>
      </c>
      <c r="B118" t="str">
        <f>HYPERLINK("https://www.senado.gob.ar/parlamentario/comisiones/verExp/186.25/S/PD","186")</f>
        <v>186</v>
      </c>
      <c r="C118" t="str">
        <f>HYPERLINK("https://www.senado.gob.ar/parlamentario/comisiones/verExp/186.25/S/PD","2025")</f>
        <v>2025</v>
      </c>
      <c r="D118" t="s">
        <v>70</v>
      </c>
      <c r="E118" t="s">
        <v>387</v>
      </c>
      <c r="F118" t="s">
        <v>385</v>
      </c>
      <c r="H118" t="s">
        <v>73</v>
      </c>
      <c r="I118" t="s">
        <v>388</v>
      </c>
      <c r="K118" t="s">
        <v>238</v>
      </c>
      <c r="L118" t="s">
        <v>326</v>
      </c>
      <c r="N118" t="s">
        <v>389</v>
      </c>
      <c r="O118">
        <v>75</v>
      </c>
      <c r="P118" t="s">
        <v>196</v>
      </c>
      <c r="Q118" t="s">
        <v>355</v>
      </c>
      <c r="R118" t="s">
        <v>240</v>
      </c>
      <c r="AI118" t="str">
        <f>HYPERLINK("https://www.senado.gob.ar/parlamentario/parlamentaria/ordenDelDiaResultadoLink/2025/334"," 334 2025 AP -")</f>
        <v xml:space="preserve"> 334 2025 AP -</v>
      </c>
      <c r="AJ118" t="s">
        <v>80</v>
      </c>
      <c r="AK118" t="s">
        <v>55</v>
      </c>
      <c r="AM118" t="s">
        <v>73</v>
      </c>
    </row>
    <row r="119" spans="1:39" x14ac:dyDescent="0.25">
      <c r="A119" t="s">
        <v>390</v>
      </c>
      <c r="B119" t="str">
        <f>HYPERLINK("https://www.senado.gob.ar/parlamentario/comisiones/verExp/176.25/PE/AC","176")</f>
        <v>176</v>
      </c>
      <c r="C119" t="str">
        <f>HYPERLINK("https://www.senado.gob.ar/parlamentario/comisiones/verExp/176.25/PE/AC","2025")</f>
        <v>2025</v>
      </c>
      <c r="D119" t="s">
        <v>391</v>
      </c>
      <c r="E119" t="s">
        <v>392</v>
      </c>
      <c r="F119" t="s">
        <v>393</v>
      </c>
      <c r="I119" t="s">
        <v>394</v>
      </c>
      <c r="K119" t="s">
        <v>395</v>
      </c>
      <c r="L119" t="s">
        <v>394</v>
      </c>
      <c r="O119">
        <v>71</v>
      </c>
      <c r="P119" t="s">
        <v>396</v>
      </c>
      <c r="Q119" t="s">
        <v>397</v>
      </c>
      <c r="R119" t="s">
        <v>398</v>
      </c>
      <c r="AI119" t="str">
        <f>HYPERLINK("https://www.senado.gob.ar/parlamentario/parlamentaria/ordenDelDiaResultadoLink/2026/17"," 17 2026 AP -")</f>
        <v xml:space="preserve"> 17 2026 AP -</v>
      </c>
      <c r="AJ119" t="s">
        <v>399</v>
      </c>
      <c r="AK119" t="s">
        <v>55</v>
      </c>
    </row>
    <row r="120" spans="1:39" x14ac:dyDescent="0.25">
      <c r="A120" t="s">
        <v>42</v>
      </c>
      <c r="B120" t="str">
        <f>HYPERLINK("https://www.senado.gob.ar/parlamentario/comisiones/verExp/176.25/S/PD","176")</f>
        <v>176</v>
      </c>
      <c r="C120" t="str">
        <f>HYPERLINK("https://www.senado.gob.ar/parlamentario/comisiones/verExp/176.25/S/PD","2025")</f>
        <v>2025</v>
      </c>
      <c r="D120" t="s">
        <v>70</v>
      </c>
      <c r="E120" t="s">
        <v>400</v>
      </c>
      <c r="F120" t="s">
        <v>401</v>
      </c>
      <c r="H120" t="s">
        <v>73</v>
      </c>
      <c r="I120" t="s">
        <v>388</v>
      </c>
      <c r="K120" t="s">
        <v>76</v>
      </c>
      <c r="L120" t="s">
        <v>326</v>
      </c>
      <c r="N120" t="s">
        <v>402</v>
      </c>
      <c r="O120">
        <v>76</v>
      </c>
      <c r="P120" t="s">
        <v>103</v>
      </c>
      <c r="Q120" t="s">
        <v>355</v>
      </c>
      <c r="R120" t="s">
        <v>64</v>
      </c>
      <c r="AI120" t="str">
        <f>HYPERLINK("https://www.senado.gob.ar/parlamentario/parlamentaria/ordenDelDiaResultadoLink/2025/359"," 359 2025 AP -")</f>
        <v xml:space="preserve"> 359 2025 AP -</v>
      </c>
      <c r="AJ120" t="s">
        <v>80</v>
      </c>
      <c r="AK120" t="s">
        <v>55</v>
      </c>
      <c r="AM120" t="s">
        <v>73</v>
      </c>
    </row>
    <row r="121" spans="1:39" x14ac:dyDescent="0.25">
      <c r="A121" t="s">
        <v>390</v>
      </c>
      <c r="B121" t="str">
        <f>HYPERLINK("https://www.senado.gob.ar/parlamentario/comisiones/verExp/175.25/PE/AC","175")</f>
        <v>175</v>
      </c>
      <c r="C121" t="str">
        <f>HYPERLINK("https://www.senado.gob.ar/parlamentario/comisiones/verExp/175.25/PE/AC","2025")</f>
        <v>2025</v>
      </c>
      <c r="D121" t="s">
        <v>391</v>
      </c>
      <c r="E121" t="s">
        <v>403</v>
      </c>
      <c r="F121" t="s">
        <v>404</v>
      </c>
      <c r="I121" t="s">
        <v>405</v>
      </c>
      <c r="K121" t="s">
        <v>406</v>
      </c>
      <c r="L121" t="s">
        <v>405</v>
      </c>
      <c r="O121">
        <v>71</v>
      </c>
      <c r="P121" t="s">
        <v>396</v>
      </c>
      <c r="Q121" t="s">
        <v>407</v>
      </c>
      <c r="R121" t="s">
        <v>408</v>
      </c>
      <c r="AI121" t="str">
        <f>HYPERLINK("https://www.senado.gob.ar/parlamentario/parlamentaria/ordenDelDiaResultadoLink/2025/704"," 704 2025 AP -")</f>
        <v xml:space="preserve"> 704 2025 AP -</v>
      </c>
      <c r="AJ121" t="s">
        <v>409</v>
      </c>
      <c r="AK121" t="s">
        <v>55</v>
      </c>
    </row>
    <row r="122" spans="1:39" x14ac:dyDescent="0.25">
      <c r="A122" t="s">
        <v>42</v>
      </c>
      <c r="B122" t="str">
        <f>HYPERLINK("https://www.senado.gob.ar/parlamentario/comisiones/verExp/172.25/S/PL","172")</f>
        <v>172</v>
      </c>
      <c r="C122" t="str">
        <f>HYPERLINK("https://www.senado.gob.ar/parlamentario/comisiones/verExp/172.25/S/PL","2025")</f>
        <v>2025</v>
      </c>
      <c r="D122" t="s">
        <v>56</v>
      </c>
      <c r="E122" t="s">
        <v>410</v>
      </c>
      <c r="F122" t="s">
        <v>401</v>
      </c>
      <c r="I122" t="s">
        <v>411</v>
      </c>
      <c r="K122" t="s">
        <v>376</v>
      </c>
      <c r="L122" t="s">
        <v>388</v>
      </c>
      <c r="M122" t="s">
        <v>330</v>
      </c>
      <c r="N122" t="s">
        <v>412</v>
      </c>
      <c r="O122">
        <v>54</v>
      </c>
      <c r="P122" t="s">
        <v>90</v>
      </c>
      <c r="Q122" t="s">
        <v>413</v>
      </c>
      <c r="R122" t="s">
        <v>414</v>
      </c>
      <c r="AI122" t="str">
        <f>HYPERLINK("https://www.senado.gob.ar/parlamentario/parlamentaria/ordenDelDiaResultadoLink/2025/5"," 5 2025 AP -")</f>
        <v xml:space="preserve"> 5 2025 AP -</v>
      </c>
      <c r="AJ122" t="s">
        <v>415</v>
      </c>
      <c r="AK122" t="s">
        <v>416</v>
      </c>
    </row>
    <row r="123" spans="1:39" x14ac:dyDescent="0.25">
      <c r="A123" t="s">
        <v>42</v>
      </c>
      <c r="B123" t="str">
        <f>HYPERLINK("https://www.senado.gob.ar/parlamentario/comisiones/verExp/170.25/S/PD","170")</f>
        <v>170</v>
      </c>
      <c r="C123" t="str">
        <f>HYPERLINK("https://www.senado.gob.ar/parlamentario/comisiones/verExp/170.25/S/PD","2025")</f>
        <v>2025</v>
      </c>
      <c r="D123" t="s">
        <v>70</v>
      </c>
      <c r="E123" t="s">
        <v>417</v>
      </c>
      <c r="F123" t="s">
        <v>401</v>
      </c>
      <c r="H123" t="s">
        <v>73</v>
      </c>
      <c r="I123" t="s">
        <v>411</v>
      </c>
      <c r="K123" t="s">
        <v>76</v>
      </c>
      <c r="L123" t="s">
        <v>326</v>
      </c>
      <c r="N123" t="s">
        <v>110</v>
      </c>
      <c r="O123">
        <v>76</v>
      </c>
      <c r="P123" t="s">
        <v>103</v>
      </c>
      <c r="Q123" t="s">
        <v>355</v>
      </c>
      <c r="R123" t="s">
        <v>64</v>
      </c>
      <c r="AI123" t="str">
        <f>HYPERLINK("https://www.senado.gob.ar/parlamentario/parlamentaria/ordenDelDiaResultadoLink/2025/359"," 359 2025 AP -")</f>
        <v xml:space="preserve"> 359 2025 AP -</v>
      </c>
      <c r="AJ123" t="s">
        <v>80</v>
      </c>
      <c r="AK123" t="s">
        <v>55</v>
      </c>
      <c r="AM123" t="s">
        <v>73</v>
      </c>
    </row>
    <row r="124" spans="1:39" x14ac:dyDescent="0.25">
      <c r="A124" t="s">
        <v>42</v>
      </c>
      <c r="B124" t="str">
        <f>HYPERLINK("https://www.senado.gob.ar/parlamentario/comisiones/verExp/169.25/S/PD","169")</f>
        <v>169</v>
      </c>
      <c r="C124" t="str">
        <f>HYPERLINK("https://www.senado.gob.ar/parlamentario/comisiones/verExp/169.25/S/PD","2025")</f>
        <v>2025</v>
      </c>
      <c r="D124" t="s">
        <v>70</v>
      </c>
      <c r="E124" t="s">
        <v>418</v>
      </c>
      <c r="F124" t="s">
        <v>401</v>
      </c>
      <c r="H124" t="s">
        <v>73</v>
      </c>
      <c r="I124" t="s">
        <v>411</v>
      </c>
      <c r="K124" t="s">
        <v>123</v>
      </c>
      <c r="L124" t="s">
        <v>326</v>
      </c>
      <c r="N124" t="s">
        <v>110</v>
      </c>
      <c r="O124">
        <v>77</v>
      </c>
      <c r="P124" t="s">
        <v>125</v>
      </c>
      <c r="Q124" t="s">
        <v>355</v>
      </c>
      <c r="R124" t="s">
        <v>127</v>
      </c>
      <c r="AI124" t="str">
        <f>HYPERLINK("https://www.senado.gob.ar/parlamentario/parlamentaria/ordenDelDiaResultadoLink/2025/541"," 541 2025 AP -")</f>
        <v xml:space="preserve"> 541 2025 AP -</v>
      </c>
      <c r="AJ124" t="s">
        <v>80</v>
      </c>
      <c r="AK124" t="s">
        <v>55</v>
      </c>
      <c r="AM124" t="s">
        <v>73</v>
      </c>
    </row>
    <row r="125" spans="1:39" x14ac:dyDescent="0.25">
      <c r="A125" t="s">
        <v>42</v>
      </c>
      <c r="B125" t="str">
        <f>HYPERLINK("https://www.senado.gob.ar/parlamentario/comisiones/verExp/165.25/S/PD","165")</f>
        <v>165</v>
      </c>
      <c r="C125" t="str">
        <f>HYPERLINK("https://www.senado.gob.ar/parlamentario/comisiones/verExp/165.25/S/PD","2025")</f>
        <v>2025</v>
      </c>
      <c r="D125" t="s">
        <v>70</v>
      </c>
      <c r="E125" t="s">
        <v>419</v>
      </c>
      <c r="F125" t="s">
        <v>401</v>
      </c>
      <c r="H125" t="s">
        <v>73</v>
      </c>
      <c r="I125" t="s">
        <v>411</v>
      </c>
      <c r="K125" t="s">
        <v>123</v>
      </c>
      <c r="L125" t="s">
        <v>326</v>
      </c>
      <c r="N125" t="s">
        <v>77</v>
      </c>
      <c r="O125">
        <v>77</v>
      </c>
      <c r="P125" t="s">
        <v>125</v>
      </c>
      <c r="Q125" t="s">
        <v>355</v>
      </c>
      <c r="R125" t="s">
        <v>127</v>
      </c>
      <c r="AI125" t="str">
        <f>HYPERLINK("https://www.senado.gob.ar/parlamentario/parlamentaria/ordenDelDiaResultadoLink/2025/543"," 543 2025 AP -")</f>
        <v xml:space="preserve"> 543 2025 AP -</v>
      </c>
      <c r="AJ125" t="s">
        <v>80</v>
      </c>
      <c r="AK125" t="s">
        <v>55</v>
      </c>
      <c r="AM125" t="s">
        <v>73</v>
      </c>
    </row>
    <row r="126" spans="1:39" x14ac:dyDescent="0.25">
      <c r="A126" t="s">
        <v>42</v>
      </c>
      <c r="B126" t="str">
        <f>HYPERLINK("https://www.senado.gob.ar/parlamentario/comisiones/verExp/164.25/S/PD","164")</f>
        <v>164</v>
      </c>
      <c r="C126" t="str">
        <f>HYPERLINK("https://www.senado.gob.ar/parlamentario/comisiones/verExp/164.25/S/PD","2025")</f>
        <v>2025</v>
      </c>
      <c r="D126" t="s">
        <v>70</v>
      </c>
      <c r="E126" t="s">
        <v>420</v>
      </c>
      <c r="F126" t="s">
        <v>401</v>
      </c>
      <c r="H126" t="s">
        <v>73</v>
      </c>
      <c r="I126" t="s">
        <v>411</v>
      </c>
      <c r="K126" t="s">
        <v>238</v>
      </c>
      <c r="L126" t="s">
        <v>326</v>
      </c>
      <c r="N126" t="s">
        <v>77</v>
      </c>
      <c r="O126">
        <v>75</v>
      </c>
      <c r="P126" t="s">
        <v>196</v>
      </c>
      <c r="Q126" t="s">
        <v>355</v>
      </c>
      <c r="R126" t="s">
        <v>240</v>
      </c>
      <c r="AI126" t="str">
        <f>HYPERLINK("https://www.senado.gob.ar/parlamentario/parlamentaria/ordenDelDiaResultadoLink/2025/333"," 333 2025 AP -")</f>
        <v xml:space="preserve"> 333 2025 AP -</v>
      </c>
      <c r="AJ126" t="s">
        <v>80</v>
      </c>
      <c r="AK126" t="s">
        <v>55</v>
      </c>
      <c r="AM126" t="s">
        <v>73</v>
      </c>
    </row>
    <row r="127" spans="1:39" x14ac:dyDescent="0.25">
      <c r="A127" t="s">
        <v>42</v>
      </c>
      <c r="B127" t="str">
        <f>HYPERLINK("https://www.senado.gob.ar/parlamentario/comisiones/verExp/163.25/S/PD","163")</f>
        <v>163</v>
      </c>
      <c r="C127" t="str">
        <f>HYPERLINK("https://www.senado.gob.ar/parlamentario/comisiones/verExp/163.25/S/PD","2025")</f>
        <v>2025</v>
      </c>
      <c r="D127" t="s">
        <v>70</v>
      </c>
      <c r="E127" t="s">
        <v>421</v>
      </c>
      <c r="F127" t="s">
        <v>401</v>
      </c>
      <c r="H127" t="s">
        <v>73</v>
      </c>
      <c r="I127" t="s">
        <v>411</v>
      </c>
      <c r="K127" t="s">
        <v>238</v>
      </c>
      <c r="L127" t="s">
        <v>326</v>
      </c>
      <c r="N127" t="s">
        <v>77</v>
      </c>
      <c r="O127">
        <v>75</v>
      </c>
      <c r="P127" t="s">
        <v>196</v>
      </c>
      <c r="Q127" t="s">
        <v>355</v>
      </c>
      <c r="R127" t="s">
        <v>240</v>
      </c>
      <c r="AI127" t="str">
        <f>HYPERLINK("https://www.senado.gob.ar/parlamentario/parlamentaria/ordenDelDiaResultadoLink/2025/332"," 332 2025 AP -")</f>
        <v xml:space="preserve"> 332 2025 AP -</v>
      </c>
      <c r="AJ127" t="s">
        <v>80</v>
      </c>
      <c r="AK127" t="s">
        <v>55</v>
      </c>
      <c r="AM127" t="s">
        <v>73</v>
      </c>
    </row>
    <row r="128" spans="1:39" x14ac:dyDescent="0.25">
      <c r="A128" t="s">
        <v>390</v>
      </c>
      <c r="B128" t="str">
        <f>HYPERLINK("https://www.senado.gob.ar/parlamentario/comisiones/verExp/161.25/PE/PL","161")</f>
        <v>161</v>
      </c>
      <c r="C128" t="str">
        <f>HYPERLINK("https://www.senado.gob.ar/parlamentario/comisiones/verExp/161.25/PE/PL","2025")</f>
        <v>2025</v>
      </c>
      <c r="D128" t="s">
        <v>56</v>
      </c>
      <c r="E128" t="s">
        <v>422</v>
      </c>
      <c r="F128" t="s">
        <v>423</v>
      </c>
      <c r="H128" t="s">
        <v>424</v>
      </c>
      <c r="I128" t="s">
        <v>425</v>
      </c>
      <c r="K128" t="s">
        <v>426</v>
      </c>
      <c r="L128" t="s">
        <v>427</v>
      </c>
      <c r="O128">
        <v>69</v>
      </c>
      <c r="P128" t="s">
        <v>428</v>
      </c>
      <c r="Q128" t="s">
        <v>429</v>
      </c>
      <c r="R128" t="s">
        <v>430</v>
      </c>
      <c r="S128">
        <v>65</v>
      </c>
      <c r="T128" t="s">
        <v>431</v>
      </c>
      <c r="U128" t="s">
        <v>429</v>
      </c>
      <c r="V128" t="s">
        <v>430</v>
      </c>
      <c r="AI128" t="str">
        <f>HYPERLINK("https://www.senado.gob.ar/parlamentario/parlamentaria/ordenDelDiaResultadoLink/2025/700"," 700 2025 AP -")</f>
        <v xml:space="preserve"> 700 2025 AP -</v>
      </c>
      <c r="AJ128" t="s">
        <v>432</v>
      </c>
      <c r="AK128" t="s">
        <v>433</v>
      </c>
      <c r="AM128" t="s">
        <v>424</v>
      </c>
    </row>
    <row r="129" spans="1:39" x14ac:dyDescent="0.25">
      <c r="A129" t="s">
        <v>42</v>
      </c>
      <c r="B129" t="str">
        <f>HYPERLINK("https://www.senado.gob.ar/parlamentario/comisiones/verExp/160.25/S/PD","160")</f>
        <v>160</v>
      </c>
      <c r="C129" t="str">
        <f>HYPERLINK("https://www.senado.gob.ar/parlamentario/comisiones/verExp/160.25/S/PD","2025")</f>
        <v>2025</v>
      </c>
      <c r="D129" t="s">
        <v>70</v>
      </c>
      <c r="E129" t="s">
        <v>434</v>
      </c>
      <c r="F129" t="s">
        <v>401</v>
      </c>
      <c r="H129" t="s">
        <v>73</v>
      </c>
      <c r="I129" t="s">
        <v>411</v>
      </c>
      <c r="K129" t="s">
        <v>238</v>
      </c>
      <c r="L129" t="s">
        <v>326</v>
      </c>
      <c r="N129" t="s">
        <v>77</v>
      </c>
      <c r="O129">
        <v>75</v>
      </c>
      <c r="P129" t="s">
        <v>196</v>
      </c>
      <c r="Q129" t="s">
        <v>355</v>
      </c>
      <c r="R129" t="s">
        <v>240</v>
      </c>
      <c r="AI129" t="str">
        <f>HYPERLINK("https://www.senado.gob.ar/parlamentario/parlamentaria/ordenDelDiaResultadoLink/2025/331"," 331 2025 AP -")</f>
        <v xml:space="preserve"> 331 2025 AP -</v>
      </c>
      <c r="AJ129" t="s">
        <v>80</v>
      </c>
      <c r="AK129" t="s">
        <v>55</v>
      </c>
      <c r="AM129" t="s">
        <v>73</v>
      </c>
    </row>
    <row r="130" spans="1:39" x14ac:dyDescent="0.25">
      <c r="A130" t="s">
        <v>390</v>
      </c>
      <c r="B130" t="str">
        <f>HYPERLINK("https://www.senado.gob.ar/parlamentario/comisiones/verExp/159.25/PE/PL","159")</f>
        <v>159</v>
      </c>
      <c r="C130" t="str">
        <f>HYPERLINK("https://www.senado.gob.ar/parlamentario/comisiones/verExp/159.25/PE/PL","2025")</f>
        <v>2025</v>
      </c>
      <c r="D130" t="s">
        <v>56</v>
      </c>
      <c r="E130" t="s">
        <v>435</v>
      </c>
      <c r="F130" t="s">
        <v>436</v>
      </c>
      <c r="I130" t="s">
        <v>437</v>
      </c>
      <c r="K130" t="s">
        <v>438</v>
      </c>
      <c r="L130" t="s">
        <v>439</v>
      </c>
      <c r="O130">
        <v>61</v>
      </c>
      <c r="P130" t="s">
        <v>51</v>
      </c>
      <c r="Q130" t="s">
        <v>440</v>
      </c>
      <c r="R130" t="s">
        <v>430</v>
      </c>
      <c r="S130">
        <v>61</v>
      </c>
      <c r="T130" t="s">
        <v>51</v>
      </c>
      <c r="U130" t="s">
        <v>441</v>
      </c>
      <c r="V130" t="s">
        <v>441</v>
      </c>
      <c r="W130">
        <v>54</v>
      </c>
      <c r="X130" t="s">
        <v>90</v>
      </c>
      <c r="Y130" t="s">
        <v>440</v>
      </c>
      <c r="Z130" t="s">
        <v>430</v>
      </c>
      <c r="AA130">
        <v>54</v>
      </c>
      <c r="AB130" t="s">
        <v>90</v>
      </c>
      <c r="AC130" t="s">
        <v>441</v>
      </c>
      <c r="AD130" t="s">
        <v>441</v>
      </c>
      <c r="AI130" t="str">
        <f>HYPERLINK("https://www.senado.gob.ar/parlamentario/parlamentaria/ordenDelDiaResultadoLink/2025/706"," 706 2025 AP - 699 2025 AM -")</f>
        <v xml:space="preserve"> 706 2025 AP - 699 2025 AM -</v>
      </c>
      <c r="AJ130" t="s">
        <v>442</v>
      </c>
      <c r="AK130" t="s">
        <v>443</v>
      </c>
    </row>
    <row r="131" spans="1:39" x14ac:dyDescent="0.25">
      <c r="A131" t="s">
        <v>390</v>
      </c>
      <c r="B131" t="str">
        <f>HYPERLINK("https://www.senado.gob.ar/parlamentario/comisiones/verExp/152.25/PE/AC","152")</f>
        <v>152</v>
      </c>
      <c r="C131" t="str">
        <f>HYPERLINK("https://www.senado.gob.ar/parlamentario/comisiones/verExp/152.25/PE/AC","2025")</f>
        <v>2025</v>
      </c>
      <c r="D131" t="s">
        <v>391</v>
      </c>
      <c r="E131" t="s">
        <v>444</v>
      </c>
      <c r="F131" t="s">
        <v>445</v>
      </c>
      <c r="H131" t="s">
        <v>446</v>
      </c>
      <c r="I131" t="s">
        <v>447</v>
      </c>
      <c r="K131" t="s">
        <v>448</v>
      </c>
      <c r="L131" t="s">
        <v>449</v>
      </c>
      <c r="O131">
        <v>71</v>
      </c>
      <c r="P131" t="s">
        <v>396</v>
      </c>
      <c r="Q131" t="s">
        <v>450</v>
      </c>
      <c r="R131" t="s">
        <v>451</v>
      </c>
      <c r="AI131" t="str">
        <f>HYPERLINK("https://www.senado.gob.ar/parlamentario/parlamentaria/ordenDelDiaResultadoLink/2026/8"," 8 2026 AP -")</f>
        <v xml:space="preserve"> 8 2026 AP -</v>
      </c>
      <c r="AJ131" t="s">
        <v>452</v>
      </c>
      <c r="AK131" t="s">
        <v>55</v>
      </c>
      <c r="AM131" t="s">
        <v>446</v>
      </c>
    </row>
    <row r="132" spans="1:39" x14ac:dyDescent="0.25">
      <c r="A132" t="s">
        <v>42</v>
      </c>
      <c r="B132" t="str">
        <f>HYPERLINK("https://www.senado.gob.ar/parlamentario/comisiones/verExp/150.25/S/PD","150")</f>
        <v>150</v>
      </c>
      <c r="C132" t="str">
        <f>HYPERLINK("https://www.senado.gob.ar/parlamentario/comisiones/verExp/150.25/S/PD","2025")</f>
        <v>2025</v>
      </c>
      <c r="D132" t="s">
        <v>70</v>
      </c>
      <c r="E132" t="s">
        <v>453</v>
      </c>
      <c r="F132" t="s">
        <v>454</v>
      </c>
      <c r="H132" t="s">
        <v>171</v>
      </c>
      <c r="I132" t="s">
        <v>411</v>
      </c>
      <c r="K132" t="s">
        <v>141</v>
      </c>
      <c r="L132" t="s">
        <v>326</v>
      </c>
      <c r="N132" t="s">
        <v>77</v>
      </c>
      <c r="O132">
        <v>74</v>
      </c>
      <c r="P132" t="s">
        <v>78</v>
      </c>
      <c r="Q132" t="s">
        <v>355</v>
      </c>
      <c r="R132" t="s">
        <v>270</v>
      </c>
      <c r="AI132" t="str">
        <f>HYPERLINK("https://www.senado.gob.ar/parlamentario/parlamentaria/ordenDelDiaResultadoLink/2025/216"," 216 2025 AP -")</f>
        <v xml:space="preserve"> 216 2025 AP -</v>
      </c>
      <c r="AJ132" t="s">
        <v>80</v>
      </c>
      <c r="AK132" t="s">
        <v>55</v>
      </c>
      <c r="AM132" t="s">
        <v>171</v>
      </c>
    </row>
    <row r="133" spans="1:39" x14ac:dyDescent="0.25">
      <c r="A133" t="s">
        <v>42</v>
      </c>
      <c r="B133" t="str">
        <f>HYPERLINK("https://www.senado.gob.ar/parlamentario/comisiones/verExp/143.25/S/PD","143")</f>
        <v>143</v>
      </c>
      <c r="C133" t="str">
        <f>HYPERLINK("https://www.senado.gob.ar/parlamentario/comisiones/verExp/143.25/S/PD","2025")</f>
        <v>2025</v>
      </c>
      <c r="D133" t="s">
        <v>70</v>
      </c>
      <c r="E133" t="s">
        <v>455</v>
      </c>
      <c r="F133" t="s">
        <v>454</v>
      </c>
      <c r="H133" t="s">
        <v>73</v>
      </c>
      <c r="I133" t="s">
        <v>456</v>
      </c>
      <c r="K133" t="s">
        <v>123</v>
      </c>
      <c r="L133" t="s">
        <v>326</v>
      </c>
      <c r="N133" t="s">
        <v>203</v>
      </c>
      <c r="O133">
        <v>75</v>
      </c>
      <c r="P133" t="s">
        <v>196</v>
      </c>
      <c r="Q133" t="s">
        <v>355</v>
      </c>
      <c r="R133" t="s">
        <v>127</v>
      </c>
      <c r="AI133" t="str">
        <f>HYPERLINK("https://www.senado.gob.ar/parlamentario/parlamentaria/ordenDelDiaResultadoLink/2025/515"," 515 2025 AP -")</f>
        <v xml:space="preserve"> 515 2025 AP -</v>
      </c>
      <c r="AJ133" t="s">
        <v>80</v>
      </c>
      <c r="AK133" t="s">
        <v>55</v>
      </c>
      <c r="AM133" t="s">
        <v>73</v>
      </c>
    </row>
    <row r="134" spans="1:39" x14ac:dyDescent="0.25">
      <c r="A134" t="s">
        <v>390</v>
      </c>
      <c r="B134" t="str">
        <f>HYPERLINK("https://www.senado.gob.ar/parlamentario/comisiones/verExp/132.25/PE/AC","132")</f>
        <v>132</v>
      </c>
      <c r="C134" t="str">
        <f>HYPERLINK("https://www.senado.gob.ar/parlamentario/comisiones/verExp/132.25/PE/AC","2025")</f>
        <v>2025</v>
      </c>
      <c r="D134" t="s">
        <v>391</v>
      </c>
      <c r="E134" t="s">
        <v>457</v>
      </c>
      <c r="F134" t="s">
        <v>458</v>
      </c>
      <c r="H134" t="s">
        <v>446</v>
      </c>
      <c r="I134" t="s">
        <v>459</v>
      </c>
      <c r="K134" t="s">
        <v>448</v>
      </c>
      <c r="L134" t="s">
        <v>459</v>
      </c>
      <c r="O134">
        <v>71</v>
      </c>
      <c r="P134" t="s">
        <v>396</v>
      </c>
      <c r="Q134" t="s">
        <v>460</v>
      </c>
      <c r="R134" t="s">
        <v>451</v>
      </c>
      <c r="AI134" t="str">
        <f>HYPERLINK("https://www.senado.gob.ar/parlamentario/parlamentaria/ordenDelDiaResultadoLink/2026/7"," 7 2026 AP -")</f>
        <v xml:space="preserve"> 7 2026 AP -</v>
      </c>
      <c r="AJ134" t="s">
        <v>452</v>
      </c>
      <c r="AK134" t="s">
        <v>55</v>
      </c>
      <c r="AM134" t="s">
        <v>446</v>
      </c>
    </row>
    <row r="135" spans="1:39" x14ac:dyDescent="0.25">
      <c r="A135" t="s">
        <v>390</v>
      </c>
      <c r="B135" t="str">
        <f>HYPERLINK("https://www.senado.gob.ar/parlamentario/comisiones/verExp/114.25/PE/AC","114")</f>
        <v>114</v>
      </c>
      <c r="C135" t="str">
        <f>HYPERLINK("https://www.senado.gob.ar/parlamentario/comisiones/verExp/114.25/PE/AC","2025")</f>
        <v>2025</v>
      </c>
      <c r="D135" t="s">
        <v>391</v>
      </c>
      <c r="E135" t="s">
        <v>461</v>
      </c>
      <c r="F135" t="s">
        <v>462</v>
      </c>
      <c r="H135" t="s">
        <v>46</v>
      </c>
      <c r="I135" t="s">
        <v>210</v>
      </c>
      <c r="K135" t="s">
        <v>463</v>
      </c>
      <c r="L135" t="s">
        <v>464</v>
      </c>
      <c r="O135">
        <v>71</v>
      </c>
      <c r="P135" t="s">
        <v>396</v>
      </c>
      <c r="Q135" t="s">
        <v>465</v>
      </c>
      <c r="R135" t="s">
        <v>466</v>
      </c>
      <c r="AI135" t="str">
        <f>HYPERLINK("https://www.senado.gob.ar/parlamentario/parlamentaria/ordenDelDiaResultadoLink/2025/575"," 575 2025 AP -")</f>
        <v xml:space="preserve"> 575 2025 AP -</v>
      </c>
      <c r="AJ135" t="s">
        <v>54</v>
      </c>
      <c r="AK135" t="s">
        <v>55</v>
      </c>
      <c r="AM135" t="s">
        <v>46</v>
      </c>
    </row>
    <row r="136" spans="1:39" x14ac:dyDescent="0.25">
      <c r="A136" t="s">
        <v>390</v>
      </c>
      <c r="B136" t="str">
        <f>HYPERLINK("https://www.senado.gob.ar/parlamentario/comisiones/verExp/110.25/PE/AC","110")</f>
        <v>110</v>
      </c>
      <c r="C136" t="str">
        <f>HYPERLINK("https://www.senado.gob.ar/parlamentario/comisiones/verExp/110.25/PE/AC","2025")</f>
        <v>2025</v>
      </c>
      <c r="D136" t="s">
        <v>391</v>
      </c>
      <c r="E136" t="s">
        <v>467</v>
      </c>
      <c r="F136" t="s">
        <v>468</v>
      </c>
      <c r="I136" t="s">
        <v>369</v>
      </c>
      <c r="K136" t="s">
        <v>469</v>
      </c>
      <c r="L136" t="s">
        <v>470</v>
      </c>
      <c r="O136">
        <v>71</v>
      </c>
      <c r="P136" t="s">
        <v>396</v>
      </c>
      <c r="Q136" t="s">
        <v>471</v>
      </c>
      <c r="R136" t="s">
        <v>472</v>
      </c>
      <c r="S136">
        <v>71</v>
      </c>
      <c r="T136" t="s">
        <v>396</v>
      </c>
      <c r="U136" t="s">
        <v>473</v>
      </c>
      <c r="AI136" t="str">
        <f>HYPERLINK("https://www.senado.gob.ar/parlamentario/parlamentaria/ordenDelDiaResultadoLink/2026/27"," 27 2026 AP -")</f>
        <v xml:space="preserve"> 27 2026 AP -</v>
      </c>
      <c r="AJ136" t="s">
        <v>474</v>
      </c>
      <c r="AK136" t="s">
        <v>55</v>
      </c>
    </row>
    <row r="137" spans="1:39" x14ac:dyDescent="0.25">
      <c r="A137" t="s">
        <v>390</v>
      </c>
      <c r="B137" t="str">
        <f>HYPERLINK("https://www.senado.gob.ar/parlamentario/comisiones/verExp/109.25/PE/AC","109")</f>
        <v>109</v>
      </c>
      <c r="C137" t="str">
        <f>HYPERLINK("https://www.senado.gob.ar/parlamentario/comisiones/verExp/109.25/PE/AC","2025")</f>
        <v>2025</v>
      </c>
      <c r="D137" t="s">
        <v>391</v>
      </c>
      <c r="E137" t="s">
        <v>475</v>
      </c>
      <c r="F137" t="s">
        <v>468</v>
      </c>
      <c r="I137" t="s">
        <v>369</v>
      </c>
      <c r="K137" t="s">
        <v>469</v>
      </c>
      <c r="L137" t="s">
        <v>470</v>
      </c>
      <c r="O137">
        <v>71</v>
      </c>
      <c r="P137" t="s">
        <v>396</v>
      </c>
      <c r="Q137" t="s">
        <v>471</v>
      </c>
      <c r="R137" t="s">
        <v>472</v>
      </c>
      <c r="S137">
        <v>71</v>
      </c>
      <c r="T137" t="s">
        <v>396</v>
      </c>
      <c r="U137" t="s">
        <v>473</v>
      </c>
      <c r="AI137" t="str">
        <f>HYPERLINK("https://www.senado.gob.ar/parlamentario/parlamentaria/ordenDelDiaResultadoLink/2026/26"," 26 2026 AP -")</f>
        <v xml:space="preserve"> 26 2026 AP -</v>
      </c>
      <c r="AJ137" t="s">
        <v>474</v>
      </c>
      <c r="AK137" t="s">
        <v>55</v>
      </c>
    </row>
    <row r="138" spans="1:39" x14ac:dyDescent="0.25">
      <c r="A138" t="s">
        <v>390</v>
      </c>
      <c r="B138" t="str">
        <f>HYPERLINK("https://www.senado.gob.ar/parlamentario/comisiones/verExp/108.25/PE/AC","108")</f>
        <v>108</v>
      </c>
      <c r="C138" t="str">
        <f>HYPERLINK("https://www.senado.gob.ar/parlamentario/comisiones/verExp/108.25/PE/AC","2025")</f>
        <v>2025</v>
      </c>
      <c r="D138" t="s">
        <v>391</v>
      </c>
      <c r="E138" t="s">
        <v>476</v>
      </c>
      <c r="F138" t="s">
        <v>468</v>
      </c>
      <c r="I138" t="s">
        <v>369</v>
      </c>
      <c r="K138" t="s">
        <v>469</v>
      </c>
      <c r="L138" t="s">
        <v>470</v>
      </c>
      <c r="O138">
        <v>71</v>
      </c>
      <c r="P138" t="s">
        <v>396</v>
      </c>
      <c r="Q138" t="s">
        <v>471</v>
      </c>
      <c r="R138" t="s">
        <v>472</v>
      </c>
      <c r="S138">
        <v>71</v>
      </c>
      <c r="T138" t="s">
        <v>396</v>
      </c>
      <c r="U138" t="s">
        <v>473</v>
      </c>
      <c r="AI138" t="str">
        <f>HYPERLINK("https://www.senado.gob.ar/parlamentario/parlamentaria/ordenDelDiaResultadoLink/2026/25"," 25 2026 AP -")</f>
        <v xml:space="preserve"> 25 2026 AP -</v>
      </c>
      <c r="AJ138" t="s">
        <v>474</v>
      </c>
      <c r="AK138" t="s">
        <v>55</v>
      </c>
    </row>
    <row r="139" spans="1:39" x14ac:dyDescent="0.25">
      <c r="A139" t="s">
        <v>390</v>
      </c>
      <c r="B139" t="str">
        <f>HYPERLINK("https://www.senado.gob.ar/parlamentario/comisiones/verExp/107.25/PE/AC","107")</f>
        <v>107</v>
      </c>
      <c r="C139" t="str">
        <f>HYPERLINK("https://www.senado.gob.ar/parlamentario/comisiones/verExp/107.25/PE/AC","2025")</f>
        <v>2025</v>
      </c>
      <c r="D139" t="s">
        <v>391</v>
      </c>
      <c r="E139" t="s">
        <v>477</v>
      </c>
      <c r="F139" t="s">
        <v>468</v>
      </c>
      <c r="I139" t="s">
        <v>369</v>
      </c>
      <c r="K139" t="s">
        <v>469</v>
      </c>
      <c r="L139" t="s">
        <v>470</v>
      </c>
      <c r="O139">
        <v>71</v>
      </c>
      <c r="P139" t="s">
        <v>396</v>
      </c>
      <c r="Q139" t="s">
        <v>471</v>
      </c>
      <c r="R139" t="s">
        <v>472</v>
      </c>
      <c r="S139">
        <v>71</v>
      </c>
      <c r="T139" t="s">
        <v>396</v>
      </c>
      <c r="U139" t="s">
        <v>473</v>
      </c>
      <c r="AI139" t="str">
        <f>HYPERLINK("https://www.senado.gob.ar/parlamentario/parlamentaria/ordenDelDiaResultadoLink/2026/24"," 24 2026 AP -")</f>
        <v xml:space="preserve"> 24 2026 AP -</v>
      </c>
      <c r="AJ139" t="s">
        <v>474</v>
      </c>
      <c r="AK139" t="s">
        <v>55</v>
      </c>
    </row>
    <row r="140" spans="1:39" x14ac:dyDescent="0.25">
      <c r="A140" t="s">
        <v>390</v>
      </c>
      <c r="B140" t="str">
        <f>HYPERLINK("https://www.senado.gob.ar/parlamentario/comisiones/verExp/106.25/PE/AC","106")</f>
        <v>106</v>
      </c>
      <c r="C140" t="str">
        <f>HYPERLINK("https://www.senado.gob.ar/parlamentario/comisiones/verExp/106.25/PE/AC","2025")</f>
        <v>2025</v>
      </c>
      <c r="D140" t="s">
        <v>391</v>
      </c>
      <c r="E140" t="s">
        <v>478</v>
      </c>
      <c r="F140" t="s">
        <v>468</v>
      </c>
      <c r="H140" t="s">
        <v>479</v>
      </c>
      <c r="I140" t="s">
        <v>369</v>
      </c>
      <c r="K140" t="s">
        <v>469</v>
      </c>
      <c r="L140" t="s">
        <v>470</v>
      </c>
      <c r="O140">
        <v>71</v>
      </c>
      <c r="P140" t="s">
        <v>396</v>
      </c>
      <c r="Q140" t="s">
        <v>471</v>
      </c>
      <c r="R140" t="s">
        <v>472</v>
      </c>
      <c r="AI140" t="str">
        <f>HYPERLINK("https://www.senado.gob.ar/parlamentario/parlamentaria/ordenDelDiaResultadoLink/2026/23"," 23 2026 AP -")</f>
        <v xml:space="preserve"> 23 2026 AP -</v>
      </c>
      <c r="AJ140" t="s">
        <v>474</v>
      </c>
      <c r="AK140" t="s">
        <v>55</v>
      </c>
      <c r="AM140" t="s">
        <v>479</v>
      </c>
    </row>
    <row r="141" spans="1:39" x14ac:dyDescent="0.25">
      <c r="A141" t="s">
        <v>390</v>
      </c>
      <c r="B141" t="str">
        <f>HYPERLINK("https://www.senado.gob.ar/parlamentario/comisiones/verExp/105.25/PE/AC","105")</f>
        <v>105</v>
      </c>
      <c r="C141" t="str">
        <f>HYPERLINK("https://www.senado.gob.ar/parlamentario/comisiones/verExp/105.25/PE/AC","2025")</f>
        <v>2025</v>
      </c>
      <c r="D141" t="s">
        <v>391</v>
      </c>
      <c r="E141" t="s">
        <v>480</v>
      </c>
      <c r="F141" t="s">
        <v>468</v>
      </c>
      <c r="H141" t="s">
        <v>479</v>
      </c>
      <c r="I141" t="s">
        <v>369</v>
      </c>
      <c r="K141" t="s">
        <v>469</v>
      </c>
      <c r="L141" t="s">
        <v>470</v>
      </c>
      <c r="O141">
        <v>71</v>
      </c>
      <c r="P141" t="s">
        <v>396</v>
      </c>
      <c r="Q141" t="s">
        <v>471</v>
      </c>
      <c r="R141" t="s">
        <v>472</v>
      </c>
      <c r="AI141" t="str">
        <f>HYPERLINK("https://www.senado.gob.ar/parlamentario/parlamentaria/ordenDelDiaResultadoLink/2026/22"," 22 2026 AP -")</f>
        <v xml:space="preserve"> 22 2026 AP -</v>
      </c>
      <c r="AJ141" t="s">
        <v>474</v>
      </c>
      <c r="AK141" t="s">
        <v>55</v>
      </c>
      <c r="AM141" t="s">
        <v>479</v>
      </c>
    </row>
    <row r="142" spans="1:39" x14ac:dyDescent="0.25">
      <c r="A142" t="s">
        <v>42</v>
      </c>
      <c r="B142" t="str">
        <f>HYPERLINK("https://www.senado.gob.ar/parlamentario/comisiones/verExp/102.25/S/PD","102")</f>
        <v>102</v>
      </c>
      <c r="C142" t="str">
        <f>HYPERLINK("https://www.senado.gob.ar/parlamentario/comisiones/verExp/102.25/S/PD","2025")</f>
        <v>2025</v>
      </c>
      <c r="D142" t="s">
        <v>70</v>
      </c>
      <c r="E142" t="s">
        <v>481</v>
      </c>
      <c r="F142" t="s">
        <v>482</v>
      </c>
      <c r="H142" t="s">
        <v>171</v>
      </c>
      <c r="I142" t="s">
        <v>456</v>
      </c>
      <c r="K142" t="s">
        <v>172</v>
      </c>
      <c r="L142" t="s">
        <v>483</v>
      </c>
      <c r="N142" t="s">
        <v>203</v>
      </c>
      <c r="O142">
        <v>56</v>
      </c>
      <c r="P142" t="s">
        <v>173</v>
      </c>
      <c r="Q142" t="s">
        <v>484</v>
      </c>
      <c r="R142" t="s">
        <v>174</v>
      </c>
      <c r="AI142" t="str">
        <f>HYPERLINK("https://www.senado.gob.ar/parlamentario/parlamentaria/ordenDelDiaResultadoLink/2025/284"," 284 2025 AP -")</f>
        <v xml:space="preserve"> 284 2025 AP -</v>
      </c>
      <c r="AJ142" t="s">
        <v>80</v>
      </c>
      <c r="AK142" t="s">
        <v>55</v>
      </c>
      <c r="AM142" t="s">
        <v>171</v>
      </c>
    </row>
    <row r="143" spans="1:39" x14ac:dyDescent="0.25">
      <c r="A143" t="s">
        <v>42</v>
      </c>
      <c r="B143" t="str">
        <f>HYPERLINK("https://www.senado.gob.ar/parlamentario/comisiones/verExp/100.25/S/PD","100")</f>
        <v>100</v>
      </c>
      <c r="C143" t="str">
        <f>HYPERLINK("https://www.senado.gob.ar/parlamentario/comisiones/verExp/100.25/S/PD","2025")</f>
        <v>2025</v>
      </c>
      <c r="D143" t="s">
        <v>70</v>
      </c>
      <c r="E143" t="s">
        <v>485</v>
      </c>
      <c r="F143" t="s">
        <v>482</v>
      </c>
      <c r="H143" t="s">
        <v>73</v>
      </c>
      <c r="I143" t="s">
        <v>456</v>
      </c>
      <c r="K143" t="s">
        <v>76</v>
      </c>
      <c r="L143" t="s">
        <v>483</v>
      </c>
      <c r="N143" t="s">
        <v>203</v>
      </c>
      <c r="O143">
        <v>76</v>
      </c>
      <c r="P143" t="s">
        <v>103</v>
      </c>
      <c r="Q143" t="s">
        <v>484</v>
      </c>
      <c r="R143" t="s">
        <v>64</v>
      </c>
      <c r="AI143" t="str">
        <f>HYPERLINK("https://www.senado.gob.ar/parlamentario/parlamentaria/ordenDelDiaResultadoLink/2025/357"," 357 2025 AP -")</f>
        <v xml:space="preserve"> 357 2025 AP -</v>
      </c>
      <c r="AJ143" t="s">
        <v>80</v>
      </c>
      <c r="AK143" t="s">
        <v>55</v>
      </c>
      <c r="AM143" t="s">
        <v>73</v>
      </c>
    </row>
    <row r="144" spans="1:39" x14ac:dyDescent="0.25">
      <c r="A144" t="s">
        <v>42</v>
      </c>
      <c r="B144" t="str">
        <f>HYPERLINK("https://www.senado.gob.ar/parlamentario/comisiones/verExp/92.25/S/PD","92")</f>
        <v>92</v>
      </c>
      <c r="C144" t="str">
        <f>HYPERLINK("https://www.senado.gob.ar/parlamentario/comisiones/verExp/92.25/S/PD","2025")</f>
        <v>2025</v>
      </c>
      <c r="D144" t="s">
        <v>70</v>
      </c>
      <c r="E144" t="s">
        <v>486</v>
      </c>
      <c r="F144" t="s">
        <v>487</v>
      </c>
      <c r="H144" t="s">
        <v>171</v>
      </c>
      <c r="I144" t="s">
        <v>456</v>
      </c>
      <c r="K144" t="s">
        <v>141</v>
      </c>
      <c r="L144" t="s">
        <v>483</v>
      </c>
      <c r="N144" t="s">
        <v>354</v>
      </c>
      <c r="O144">
        <v>74</v>
      </c>
      <c r="P144" t="s">
        <v>78</v>
      </c>
      <c r="Q144" t="s">
        <v>484</v>
      </c>
      <c r="R144" t="s">
        <v>270</v>
      </c>
      <c r="AI144" t="str">
        <f>HYPERLINK("https://www.senado.gob.ar/parlamentario/parlamentaria/ordenDelDiaResultadoLink/2025/228"," 228 2025 AP -")</f>
        <v xml:space="preserve"> 228 2025 AP -</v>
      </c>
      <c r="AJ144" t="s">
        <v>80</v>
      </c>
      <c r="AK144" t="s">
        <v>55</v>
      </c>
      <c r="AM144" t="s">
        <v>171</v>
      </c>
    </row>
    <row r="145" spans="1:39" x14ac:dyDescent="0.25">
      <c r="A145" t="s">
        <v>42</v>
      </c>
      <c r="B145" t="str">
        <f>HYPERLINK("https://www.senado.gob.ar/parlamentario/comisiones/verExp/85.25/S/PD","85")</f>
        <v>85</v>
      </c>
      <c r="C145" t="str">
        <f>HYPERLINK("https://www.senado.gob.ar/parlamentario/comisiones/verExp/85.25/S/PD","2025")</f>
        <v>2025</v>
      </c>
      <c r="D145" t="s">
        <v>70</v>
      </c>
      <c r="E145" t="s">
        <v>488</v>
      </c>
      <c r="F145" t="s">
        <v>487</v>
      </c>
      <c r="H145" t="s">
        <v>171</v>
      </c>
      <c r="I145" t="s">
        <v>456</v>
      </c>
      <c r="K145" t="s">
        <v>228</v>
      </c>
      <c r="L145" t="s">
        <v>483</v>
      </c>
      <c r="N145" t="s">
        <v>162</v>
      </c>
      <c r="O145">
        <v>75</v>
      </c>
      <c r="P145" t="s">
        <v>196</v>
      </c>
      <c r="Q145" t="s">
        <v>484</v>
      </c>
      <c r="R145" t="s">
        <v>229</v>
      </c>
      <c r="AI145" t="str">
        <f>HYPERLINK("https://www.senado.gob.ar/parlamentario/parlamentaria/ordenDelDiaResultadoLink/2025/317"," 317 2025 AP -")</f>
        <v xml:space="preserve"> 317 2025 AP -</v>
      </c>
      <c r="AJ145" t="s">
        <v>80</v>
      </c>
      <c r="AK145" t="s">
        <v>55</v>
      </c>
      <c r="AM145" t="s">
        <v>171</v>
      </c>
    </row>
    <row r="146" spans="1:39" x14ac:dyDescent="0.25">
      <c r="A146" t="s">
        <v>42</v>
      </c>
      <c r="B146" t="str">
        <f>HYPERLINK("https://www.senado.gob.ar/parlamentario/comisiones/verExp/79.25/S/PD","79")</f>
        <v>79</v>
      </c>
      <c r="C146" t="str">
        <f>HYPERLINK("https://www.senado.gob.ar/parlamentario/comisiones/verExp/79.25/S/PD","2025")</f>
        <v>2025</v>
      </c>
      <c r="D146" t="s">
        <v>70</v>
      </c>
      <c r="E146" t="s">
        <v>489</v>
      </c>
      <c r="F146" t="s">
        <v>490</v>
      </c>
      <c r="H146" t="s">
        <v>171</v>
      </c>
      <c r="I146" t="s">
        <v>456</v>
      </c>
      <c r="K146" t="s">
        <v>157</v>
      </c>
      <c r="L146" t="s">
        <v>483</v>
      </c>
      <c r="N146" t="s">
        <v>491</v>
      </c>
      <c r="O146">
        <v>78</v>
      </c>
      <c r="P146" t="s">
        <v>188</v>
      </c>
      <c r="Q146" t="s">
        <v>484</v>
      </c>
      <c r="R146" t="s">
        <v>299</v>
      </c>
      <c r="AI146" t="str">
        <f>HYPERLINK("https://www.senado.gob.ar/parlamentario/parlamentaria/ordenDelDiaResultadoLink/2025/208"," 208 2025 AP -")</f>
        <v xml:space="preserve"> 208 2025 AP -</v>
      </c>
      <c r="AJ146" t="s">
        <v>80</v>
      </c>
      <c r="AK146" t="s">
        <v>55</v>
      </c>
      <c r="AM146" t="s">
        <v>171</v>
      </c>
    </row>
    <row r="147" spans="1:39" x14ac:dyDescent="0.25">
      <c r="A147" t="s">
        <v>42</v>
      </c>
      <c r="B147" t="str">
        <f>HYPERLINK("https://www.senado.gob.ar/parlamentario/comisiones/verExp/78.25/S/PD","78")</f>
        <v>78</v>
      </c>
      <c r="C147" t="str">
        <f>HYPERLINK("https://www.senado.gob.ar/parlamentario/comisiones/verExp/78.25/S/PD","2025")</f>
        <v>2025</v>
      </c>
      <c r="D147" t="s">
        <v>70</v>
      </c>
      <c r="E147" t="s">
        <v>492</v>
      </c>
      <c r="F147" t="s">
        <v>490</v>
      </c>
      <c r="H147" t="s">
        <v>171</v>
      </c>
      <c r="I147" t="s">
        <v>456</v>
      </c>
      <c r="K147" t="s">
        <v>141</v>
      </c>
      <c r="L147" t="s">
        <v>483</v>
      </c>
      <c r="N147" t="s">
        <v>491</v>
      </c>
      <c r="O147">
        <v>74</v>
      </c>
      <c r="P147" t="s">
        <v>78</v>
      </c>
      <c r="Q147" t="s">
        <v>484</v>
      </c>
      <c r="R147" t="s">
        <v>270</v>
      </c>
      <c r="AI147" t="str">
        <f>HYPERLINK("https://www.senado.gob.ar/parlamentario/parlamentaria/ordenDelDiaResultadoLink/2025/227"," 227 2025 AP -")</f>
        <v xml:space="preserve"> 227 2025 AP -</v>
      </c>
      <c r="AJ147" t="s">
        <v>80</v>
      </c>
      <c r="AK147" t="s">
        <v>55</v>
      </c>
      <c r="AM147" t="s">
        <v>171</v>
      </c>
    </row>
    <row r="148" spans="1:39" x14ac:dyDescent="0.25">
      <c r="A148" t="s">
        <v>42</v>
      </c>
      <c r="B148" t="str">
        <f>HYPERLINK("https://www.senado.gob.ar/parlamentario/comisiones/verExp/75.25/S/PL","75")</f>
        <v>75</v>
      </c>
      <c r="C148" t="str">
        <f>HYPERLINK("https://www.senado.gob.ar/parlamentario/comisiones/verExp/75.25/S/PL","2025")</f>
        <v>2025</v>
      </c>
      <c r="D148" t="s">
        <v>56</v>
      </c>
      <c r="E148" t="s">
        <v>493</v>
      </c>
      <c r="F148" t="s">
        <v>490</v>
      </c>
      <c r="I148" t="s">
        <v>494</v>
      </c>
      <c r="K148" t="s">
        <v>495</v>
      </c>
      <c r="L148" t="s">
        <v>483</v>
      </c>
      <c r="N148" t="s">
        <v>402</v>
      </c>
      <c r="O148">
        <v>57</v>
      </c>
      <c r="P148" t="s">
        <v>496</v>
      </c>
      <c r="Q148" t="s">
        <v>484</v>
      </c>
      <c r="R148" t="s">
        <v>497</v>
      </c>
      <c r="S148">
        <v>52</v>
      </c>
      <c r="T148" t="s">
        <v>498</v>
      </c>
      <c r="U148" t="s">
        <v>499</v>
      </c>
      <c r="V148" t="s">
        <v>497</v>
      </c>
      <c r="AI148" t="str">
        <f>HYPERLINK("https://www.senado.gob.ar/parlamentario/parlamentaria/ordenDelDiaResultadoLink/2025/205"," 205 2025 AP -")</f>
        <v xml:space="preserve"> 205 2025 AP -</v>
      </c>
      <c r="AJ148" t="s">
        <v>54</v>
      </c>
      <c r="AK148" t="s">
        <v>55</v>
      </c>
    </row>
    <row r="149" spans="1:39" x14ac:dyDescent="0.25">
      <c r="A149" t="s">
        <v>42</v>
      </c>
      <c r="B149" t="str">
        <f>HYPERLINK("https://www.senado.gob.ar/parlamentario/comisiones/verExp/72.25/S/PL","72")</f>
        <v>72</v>
      </c>
      <c r="C149" t="str">
        <f>HYPERLINK("https://www.senado.gob.ar/parlamentario/comisiones/verExp/72.25/S/PL","2025")</f>
        <v>2025</v>
      </c>
      <c r="D149" t="s">
        <v>56</v>
      </c>
      <c r="E149" t="s">
        <v>500</v>
      </c>
      <c r="F149" t="s">
        <v>490</v>
      </c>
      <c r="I149" t="s">
        <v>494</v>
      </c>
      <c r="K149" t="s">
        <v>501</v>
      </c>
      <c r="L149" t="s">
        <v>502</v>
      </c>
      <c r="N149" t="s">
        <v>402</v>
      </c>
      <c r="O149">
        <v>57</v>
      </c>
      <c r="P149" t="s">
        <v>496</v>
      </c>
      <c r="Q149" t="s">
        <v>503</v>
      </c>
      <c r="R149" t="s">
        <v>497</v>
      </c>
      <c r="S149">
        <v>52</v>
      </c>
      <c r="T149" t="s">
        <v>498</v>
      </c>
      <c r="U149" t="s">
        <v>503</v>
      </c>
      <c r="V149" t="s">
        <v>497</v>
      </c>
      <c r="AI149" t="str">
        <f>HYPERLINK("https://www.senado.gob.ar/parlamentario/parlamentaria/ordenDelDiaResultadoLink/2025/205"," 205 2025 AP -")</f>
        <v xml:space="preserve"> 205 2025 AP -</v>
      </c>
      <c r="AJ149" t="s">
        <v>54</v>
      </c>
      <c r="AK149" t="s">
        <v>55</v>
      </c>
    </row>
    <row r="150" spans="1:39" x14ac:dyDescent="0.25">
      <c r="A150" t="s">
        <v>504</v>
      </c>
      <c r="B150" t="str">
        <f>HYPERLINK("https://www.senado.gob.ar/parlamentario/comisiones/verExp/34.25/CD/PL","34")</f>
        <v>34</v>
      </c>
      <c r="C150" t="str">
        <f>HYPERLINK("https://www.senado.gob.ar/parlamentario/comisiones/verExp/34.25/CD/PL","2025")</f>
        <v>2025</v>
      </c>
      <c r="D150" t="s">
        <v>56</v>
      </c>
      <c r="E150" t="s">
        <v>505</v>
      </c>
      <c r="F150" t="s">
        <v>506</v>
      </c>
      <c r="I150" t="s">
        <v>507</v>
      </c>
      <c r="K150" t="s">
        <v>508</v>
      </c>
      <c r="L150" t="s">
        <v>507</v>
      </c>
      <c r="O150">
        <v>51</v>
      </c>
      <c r="P150" t="s">
        <v>509</v>
      </c>
      <c r="Q150" t="s">
        <v>510</v>
      </c>
      <c r="R150" t="s">
        <v>511</v>
      </c>
      <c r="AI150" t="str">
        <f>HYPERLINK("https://www.senado.gob.ar/parlamentario/parlamentaria/ordenDelDiaResultadoLink/2025/703"," 703 2025 AP -")</f>
        <v xml:space="preserve"> 703 2025 AP -</v>
      </c>
      <c r="AJ150" t="s">
        <v>409</v>
      </c>
      <c r="AK150" t="s">
        <v>512</v>
      </c>
    </row>
    <row r="151" spans="1:39" x14ac:dyDescent="0.25">
      <c r="A151" t="s">
        <v>390</v>
      </c>
      <c r="B151" t="str">
        <f>HYPERLINK("https://www.senado.gob.ar/parlamentario/comisiones/verExp/34.25/PE/AC","34")</f>
        <v>34</v>
      </c>
      <c r="C151" t="str">
        <f>HYPERLINK("https://www.senado.gob.ar/parlamentario/comisiones/verExp/34.25/PE/AC","2025")</f>
        <v>2025</v>
      </c>
      <c r="D151" t="s">
        <v>391</v>
      </c>
      <c r="E151" t="s">
        <v>513</v>
      </c>
      <c r="F151" t="s">
        <v>514</v>
      </c>
      <c r="H151" t="s">
        <v>446</v>
      </c>
      <c r="I151" t="s">
        <v>199</v>
      </c>
      <c r="K151" t="s">
        <v>448</v>
      </c>
      <c r="L151" t="s">
        <v>199</v>
      </c>
      <c r="O151">
        <v>71</v>
      </c>
      <c r="P151" t="s">
        <v>396</v>
      </c>
      <c r="Q151" t="s">
        <v>515</v>
      </c>
      <c r="R151" t="s">
        <v>451</v>
      </c>
      <c r="AI151" t="str">
        <f>HYPERLINK("https://www.senado.gob.ar/parlamentario/parlamentaria/ordenDelDiaResultadoLink/2026/6"," 6 2026 AP -")</f>
        <v xml:space="preserve"> 6 2026 AP -</v>
      </c>
      <c r="AJ151" t="s">
        <v>452</v>
      </c>
      <c r="AK151" t="s">
        <v>55</v>
      </c>
      <c r="AM151" t="s">
        <v>446</v>
      </c>
    </row>
    <row r="152" spans="1:39" x14ac:dyDescent="0.25">
      <c r="A152" t="s">
        <v>504</v>
      </c>
      <c r="B152" t="str">
        <f>HYPERLINK("https://www.senado.gob.ar/parlamentario/comisiones/verExp/33.25/CD/PL","33")</f>
        <v>33</v>
      </c>
      <c r="C152" t="str">
        <f>HYPERLINK("https://www.senado.gob.ar/parlamentario/comisiones/verExp/33.25/CD/PL","2025")</f>
        <v>2025</v>
      </c>
      <c r="D152" t="s">
        <v>56</v>
      </c>
      <c r="E152" t="s">
        <v>516</v>
      </c>
      <c r="F152" t="s">
        <v>517</v>
      </c>
      <c r="I152" t="s">
        <v>507</v>
      </c>
      <c r="K152" t="s">
        <v>406</v>
      </c>
      <c r="L152" t="s">
        <v>507</v>
      </c>
      <c r="O152">
        <v>52</v>
      </c>
      <c r="P152" t="s">
        <v>498</v>
      </c>
      <c r="Q152" t="s">
        <v>510</v>
      </c>
      <c r="R152" t="s">
        <v>408</v>
      </c>
      <c r="S152">
        <v>54</v>
      </c>
      <c r="T152" t="s">
        <v>90</v>
      </c>
      <c r="U152" t="s">
        <v>510</v>
      </c>
      <c r="V152" t="s">
        <v>408</v>
      </c>
      <c r="AI152" t="str">
        <f>HYPERLINK("https://www.senado.gob.ar/parlamentario/parlamentaria/ordenDelDiaResultadoLink/2025/705"," 705 2025 AP -")</f>
        <v xml:space="preserve"> 705 2025 AP -</v>
      </c>
      <c r="AJ152" t="s">
        <v>518</v>
      </c>
      <c r="AK152" t="s">
        <v>519</v>
      </c>
    </row>
    <row r="153" spans="1:39" x14ac:dyDescent="0.25">
      <c r="A153" t="s">
        <v>504</v>
      </c>
      <c r="B153" t="str">
        <f>HYPERLINK("https://www.senado.gob.ar/parlamentario/comisiones/verExp/31.25/CD/PL","31")</f>
        <v>31</v>
      </c>
      <c r="C153" t="str">
        <f>HYPERLINK("https://www.senado.gob.ar/parlamentario/comisiones/verExp/31.25/CD/PL","2025")</f>
        <v>2025</v>
      </c>
      <c r="D153" t="s">
        <v>56</v>
      </c>
      <c r="E153" t="s">
        <v>520</v>
      </c>
      <c r="F153" t="s">
        <v>521</v>
      </c>
      <c r="H153" t="s">
        <v>522</v>
      </c>
      <c r="I153" t="s">
        <v>426</v>
      </c>
      <c r="K153" t="s">
        <v>523</v>
      </c>
      <c r="L153" t="s">
        <v>426</v>
      </c>
      <c r="O153">
        <v>52</v>
      </c>
      <c r="P153" t="s">
        <v>498</v>
      </c>
      <c r="Q153" t="s">
        <v>430</v>
      </c>
      <c r="R153" t="s">
        <v>524</v>
      </c>
      <c r="AI153" t="str">
        <f>HYPERLINK("https://www.senado.gob.ar/parlamentario/parlamentaria/ordenDelDiaResultadoLink/2025/701"," 701 2025 AP -")</f>
        <v xml:space="preserve"> 701 2025 AP -</v>
      </c>
      <c r="AJ153" t="s">
        <v>525</v>
      </c>
      <c r="AK153" t="s">
        <v>526</v>
      </c>
      <c r="AM153" t="s">
        <v>522</v>
      </c>
    </row>
    <row r="154" spans="1:39" x14ac:dyDescent="0.25">
      <c r="A154" t="s">
        <v>504</v>
      </c>
      <c r="B154" t="str">
        <f>HYPERLINK("https://www.senado.gob.ar/parlamentario/comisiones/verExp/30.25/CD/PL","30")</f>
        <v>30</v>
      </c>
      <c r="C154" t="str">
        <f>HYPERLINK("https://www.senado.gob.ar/parlamentario/comisiones/verExp/30.25/CD/PL","2025")</f>
        <v>2025</v>
      </c>
      <c r="D154" t="s">
        <v>56</v>
      </c>
      <c r="E154" t="s">
        <v>527</v>
      </c>
      <c r="F154" t="s">
        <v>521</v>
      </c>
      <c r="H154" t="s">
        <v>522</v>
      </c>
      <c r="I154" t="s">
        <v>426</v>
      </c>
      <c r="K154" t="s">
        <v>523</v>
      </c>
      <c r="L154" t="s">
        <v>426</v>
      </c>
      <c r="O154">
        <v>54</v>
      </c>
      <c r="P154" t="s">
        <v>90</v>
      </c>
      <c r="Q154" t="s">
        <v>430</v>
      </c>
      <c r="R154" t="s">
        <v>524</v>
      </c>
      <c r="AI154" t="str">
        <f>HYPERLINK("https://www.senado.gob.ar/parlamentario/parlamentaria/ordenDelDiaResultadoLink/2025/702"," 702 2025 AP -")</f>
        <v xml:space="preserve"> 702 2025 AP -</v>
      </c>
      <c r="AJ154" t="s">
        <v>525</v>
      </c>
      <c r="AK154" t="s">
        <v>528</v>
      </c>
      <c r="AM154" t="s">
        <v>522</v>
      </c>
    </row>
    <row r="155" spans="1:39" x14ac:dyDescent="0.25">
      <c r="A155" t="s">
        <v>529</v>
      </c>
      <c r="B155" t="str">
        <f>HYPERLINK("https://www.senado.gob.ar/parlamentario/comisiones/verExp/17.25/P/PP","17")</f>
        <v>17</v>
      </c>
      <c r="C155" t="str">
        <f>HYPERLINK("https://www.senado.gob.ar/parlamentario/comisiones/verExp/17.25/P/PP","2025")</f>
        <v>2025</v>
      </c>
      <c r="D155" t="s">
        <v>530</v>
      </c>
      <c r="E155" t="s">
        <v>531</v>
      </c>
      <c r="F155" t="s">
        <v>337</v>
      </c>
      <c r="H155" t="s">
        <v>338</v>
      </c>
      <c r="I155" t="s">
        <v>532</v>
      </c>
      <c r="K155" t="s">
        <v>358</v>
      </c>
      <c r="L155" t="s">
        <v>533</v>
      </c>
      <c r="O155">
        <v>50</v>
      </c>
      <c r="P155" t="s">
        <v>63</v>
      </c>
      <c r="Q155" t="s">
        <v>343</v>
      </c>
      <c r="R155" t="s">
        <v>343</v>
      </c>
      <c r="AI155" t="str">
        <f>HYPERLINK("https://www.senado.gob.ar/parlamentario/parlamentaria/ordenDelDiaResultadoLink/2025/679"," 679 2025 AP -")</f>
        <v xml:space="preserve"> 679 2025 AP -</v>
      </c>
      <c r="AJ155" t="s">
        <v>344</v>
      </c>
      <c r="AK155" t="s">
        <v>55</v>
      </c>
      <c r="AM155" t="s">
        <v>338</v>
      </c>
    </row>
    <row r="156" spans="1:39" x14ac:dyDescent="0.25">
      <c r="A156" t="s">
        <v>529</v>
      </c>
      <c r="B156" t="str">
        <f>HYPERLINK("https://www.senado.gob.ar/parlamentario/comisiones/verExp/16.25/P/PP","16")</f>
        <v>16</v>
      </c>
      <c r="C156" t="str">
        <f>HYPERLINK("https://www.senado.gob.ar/parlamentario/comisiones/verExp/16.25/P/PP","2025")</f>
        <v>2025</v>
      </c>
      <c r="D156" t="s">
        <v>530</v>
      </c>
      <c r="E156" t="s">
        <v>534</v>
      </c>
      <c r="F156" t="s">
        <v>337</v>
      </c>
      <c r="H156" t="s">
        <v>338</v>
      </c>
      <c r="I156" t="s">
        <v>532</v>
      </c>
      <c r="K156" t="s">
        <v>358</v>
      </c>
      <c r="L156" t="s">
        <v>533</v>
      </c>
      <c r="O156">
        <v>50</v>
      </c>
      <c r="P156" t="s">
        <v>63</v>
      </c>
      <c r="Q156" t="s">
        <v>343</v>
      </c>
      <c r="R156" t="s">
        <v>343</v>
      </c>
      <c r="AI156" t="str">
        <f>HYPERLINK("https://www.senado.gob.ar/parlamentario/parlamentaria/ordenDelDiaResultadoLink/2025/679"," 679 2025 AP -")</f>
        <v xml:space="preserve"> 679 2025 AP -</v>
      </c>
      <c r="AJ156" t="s">
        <v>344</v>
      </c>
      <c r="AK156" t="s">
        <v>55</v>
      </c>
      <c r="AM156" t="s">
        <v>338</v>
      </c>
    </row>
    <row r="157" spans="1:39" x14ac:dyDescent="0.25">
      <c r="A157" t="s">
        <v>529</v>
      </c>
      <c r="B157" t="str">
        <f>HYPERLINK("https://www.senado.gob.ar/parlamentario/comisiones/verExp/15.25/P/PP","15")</f>
        <v>15</v>
      </c>
      <c r="C157" t="str">
        <f>HYPERLINK("https://www.senado.gob.ar/parlamentario/comisiones/verExp/15.25/P/PP","2025")</f>
        <v>2025</v>
      </c>
      <c r="D157" t="s">
        <v>530</v>
      </c>
      <c r="E157" t="s">
        <v>535</v>
      </c>
      <c r="F157" t="s">
        <v>337</v>
      </c>
      <c r="H157" t="s">
        <v>338</v>
      </c>
      <c r="I157" t="s">
        <v>536</v>
      </c>
      <c r="K157" t="s">
        <v>358</v>
      </c>
      <c r="L157" t="s">
        <v>537</v>
      </c>
      <c r="O157">
        <v>50</v>
      </c>
      <c r="P157" t="s">
        <v>63</v>
      </c>
      <c r="Q157" t="s">
        <v>538</v>
      </c>
      <c r="R157" t="s">
        <v>343</v>
      </c>
      <c r="AI157" t="str">
        <f>HYPERLINK("https://www.senado.gob.ar/parlamentario/parlamentaria/ordenDelDiaResultadoLink/2025/679"," 679 2025 AP -")</f>
        <v xml:space="preserve"> 679 2025 AP -</v>
      </c>
      <c r="AJ157" t="s">
        <v>344</v>
      </c>
      <c r="AK157" t="s">
        <v>55</v>
      </c>
      <c r="AM157" t="s">
        <v>338</v>
      </c>
    </row>
    <row r="158" spans="1:39" x14ac:dyDescent="0.25">
      <c r="A158" t="s">
        <v>529</v>
      </c>
      <c r="B158" t="str">
        <f>HYPERLINK("https://www.senado.gob.ar/parlamentario/comisiones/verExp/14.25/P/PP","14")</f>
        <v>14</v>
      </c>
      <c r="C158" t="str">
        <f>HYPERLINK("https://www.senado.gob.ar/parlamentario/comisiones/verExp/14.25/P/PP","2025")</f>
        <v>2025</v>
      </c>
      <c r="D158" t="s">
        <v>530</v>
      </c>
      <c r="E158" t="s">
        <v>539</v>
      </c>
      <c r="F158" t="s">
        <v>337</v>
      </c>
      <c r="H158" t="s">
        <v>338</v>
      </c>
      <c r="I158" t="s">
        <v>540</v>
      </c>
      <c r="K158" t="s">
        <v>340</v>
      </c>
      <c r="L158" t="s">
        <v>541</v>
      </c>
      <c r="O158">
        <v>50</v>
      </c>
      <c r="P158" t="s">
        <v>63</v>
      </c>
      <c r="Q158" t="s">
        <v>542</v>
      </c>
      <c r="R158" t="s">
        <v>343</v>
      </c>
      <c r="AI158" t="str">
        <f>HYPERLINK("https://www.senado.gob.ar/parlamentario/parlamentaria/ordenDelDiaResultadoLink/2025/679"," 679 2025 AP -")</f>
        <v xml:space="preserve"> 679 2025 AP -</v>
      </c>
      <c r="AJ158" t="s">
        <v>344</v>
      </c>
      <c r="AK158" t="s">
        <v>55</v>
      </c>
      <c r="AM158" t="s">
        <v>338</v>
      </c>
    </row>
    <row r="159" spans="1:39" x14ac:dyDescent="0.25">
      <c r="A159" t="s">
        <v>504</v>
      </c>
      <c r="B159" t="str">
        <f>HYPERLINK("https://www.senado.gob.ar/parlamentario/comisiones/verExp/8.25/CD/PL","8")</f>
        <v>8</v>
      </c>
      <c r="C159" t="str">
        <f>HYPERLINK("https://www.senado.gob.ar/parlamentario/comisiones/verExp/8.25/CD/PL","2025")</f>
        <v>2025</v>
      </c>
      <c r="D159" t="s">
        <v>56</v>
      </c>
      <c r="E159" t="s">
        <v>543</v>
      </c>
      <c r="F159" t="s">
        <v>544</v>
      </c>
      <c r="H159" t="s">
        <v>46</v>
      </c>
      <c r="I159" t="s">
        <v>545</v>
      </c>
      <c r="K159" t="s">
        <v>546</v>
      </c>
      <c r="L159" t="s">
        <v>547</v>
      </c>
      <c r="O159">
        <v>78</v>
      </c>
      <c r="P159" t="s">
        <v>188</v>
      </c>
      <c r="Q159" t="s">
        <v>548</v>
      </c>
      <c r="R159" t="s">
        <v>370</v>
      </c>
      <c r="S159">
        <v>70</v>
      </c>
      <c r="T159" t="s">
        <v>549</v>
      </c>
      <c r="U159" t="s">
        <v>548</v>
      </c>
      <c r="V159" t="s">
        <v>370</v>
      </c>
      <c r="W159">
        <v>54</v>
      </c>
      <c r="X159" t="s">
        <v>90</v>
      </c>
      <c r="Y159" t="s">
        <v>548</v>
      </c>
      <c r="Z159" t="s">
        <v>370</v>
      </c>
      <c r="AI159" t="str">
        <f>HYPERLINK("https://www.senado.gob.ar/parlamentario/parlamentaria/ordenDelDiaResultadoLink/2025/425"," 425 2025 AP -")</f>
        <v xml:space="preserve"> 425 2025 AP -</v>
      </c>
      <c r="AJ159" t="s">
        <v>550</v>
      </c>
      <c r="AK159" t="s">
        <v>551</v>
      </c>
      <c r="AM159" t="s">
        <v>46</v>
      </c>
    </row>
    <row r="160" spans="1:39" x14ac:dyDescent="0.25">
      <c r="A160" t="s">
        <v>504</v>
      </c>
      <c r="B160" t="str">
        <f>HYPERLINK("https://www.senado.gob.ar/parlamentario/comisiones/verExp/7.25/CD/PL","7")</f>
        <v>7</v>
      </c>
      <c r="C160" t="str">
        <f>HYPERLINK("https://www.senado.gob.ar/parlamentario/comisiones/verExp/7.25/CD/PL","2025")</f>
        <v>2025</v>
      </c>
      <c r="D160" t="s">
        <v>56</v>
      </c>
      <c r="E160" t="s">
        <v>552</v>
      </c>
      <c r="F160" t="s">
        <v>544</v>
      </c>
      <c r="H160" t="s">
        <v>46</v>
      </c>
      <c r="I160" t="s">
        <v>545</v>
      </c>
      <c r="K160" t="s">
        <v>369</v>
      </c>
      <c r="L160" t="s">
        <v>553</v>
      </c>
      <c r="O160">
        <v>75</v>
      </c>
      <c r="P160" t="s">
        <v>196</v>
      </c>
      <c r="Q160" t="s">
        <v>548</v>
      </c>
      <c r="R160" t="s">
        <v>370</v>
      </c>
      <c r="S160">
        <v>54</v>
      </c>
      <c r="T160" t="s">
        <v>90</v>
      </c>
      <c r="U160" t="s">
        <v>548</v>
      </c>
      <c r="V160" t="s">
        <v>370</v>
      </c>
      <c r="AI160" t="str">
        <f>HYPERLINK("https://www.senado.gob.ar/parlamentario/parlamentaria/ordenDelDiaResultadoLink/2025/424"," 424 2025 AP -")</f>
        <v xml:space="preserve"> 424 2025 AP -</v>
      </c>
      <c r="AJ160" t="s">
        <v>554</v>
      </c>
      <c r="AK160" t="s">
        <v>555</v>
      </c>
      <c r="AM160" t="s">
        <v>46</v>
      </c>
    </row>
    <row r="161" spans="1:39" x14ac:dyDescent="0.25">
      <c r="A161" t="s">
        <v>390</v>
      </c>
      <c r="B161" t="str">
        <f>HYPERLINK("https://www.senado.gob.ar/parlamentario/comisiones/verExp/7.25/PE/AC","7")</f>
        <v>7</v>
      </c>
      <c r="C161" t="str">
        <f>HYPERLINK("https://www.senado.gob.ar/parlamentario/comisiones/verExp/7.25/PE/AC","2025")</f>
        <v>2025</v>
      </c>
      <c r="D161" t="s">
        <v>391</v>
      </c>
      <c r="E161" t="s">
        <v>556</v>
      </c>
      <c r="F161" t="s">
        <v>557</v>
      </c>
      <c r="H161" t="s">
        <v>558</v>
      </c>
      <c r="I161" t="s">
        <v>559</v>
      </c>
      <c r="K161" t="s">
        <v>276</v>
      </c>
      <c r="L161" t="s">
        <v>373</v>
      </c>
      <c r="O161">
        <v>71</v>
      </c>
      <c r="P161" t="s">
        <v>396</v>
      </c>
      <c r="Q161" t="s">
        <v>560</v>
      </c>
      <c r="R161" t="s">
        <v>561</v>
      </c>
      <c r="AI161" t="str">
        <f>HYPERLINK("https://www.senado.gob.ar/parlamentario/parlamentaria/ordenDelDiaResultadoLink/2025/81"," 81 2025 AP -")</f>
        <v xml:space="preserve"> 81 2025 AP -</v>
      </c>
      <c r="AJ161" t="s">
        <v>333</v>
      </c>
      <c r="AK161" t="s">
        <v>55</v>
      </c>
      <c r="AM161" t="s">
        <v>558</v>
      </c>
    </row>
    <row r="162" spans="1:39" x14ac:dyDescent="0.25">
      <c r="A162" t="s">
        <v>504</v>
      </c>
      <c r="B162" t="str">
        <f>HYPERLINK("https://www.senado.gob.ar/parlamentario/comisiones/verExp/6.25/CD/PL","6")</f>
        <v>6</v>
      </c>
      <c r="C162" t="str">
        <f>HYPERLINK("https://www.senado.gob.ar/parlamentario/comisiones/verExp/6.25/CD/PL","2025")</f>
        <v>2025</v>
      </c>
      <c r="D162" t="s">
        <v>56</v>
      </c>
      <c r="E162" t="s">
        <v>562</v>
      </c>
      <c r="F162" t="s">
        <v>563</v>
      </c>
      <c r="I162" t="s">
        <v>145</v>
      </c>
      <c r="K162" t="s">
        <v>48</v>
      </c>
      <c r="L162" t="s">
        <v>138</v>
      </c>
      <c r="O162">
        <v>61</v>
      </c>
      <c r="P162" t="s">
        <v>51</v>
      </c>
      <c r="Q162" t="s">
        <v>564</v>
      </c>
      <c r="R162" t="s">
        <v>92</v>
      </c>
      <c r="S162">
        <v>54</v>
      </c>
      <c r="T162" t="s">
        <v>90</v>
      </c>
      <c r="U162" t="s">
        <v>564</v>
      </c>
      <c r="V162" t="s">
        <v>92</v>
      </c>
      <c r="AI162" t="str">
        <f>HYPERLINK("","")</f>
        <v/>
      </c>
      <c r="AJ162" t="s">
        <v>565</v>
      </c>
      <c r="AK162" t="s">
        <v>566</v>
      </c>
    </row>
    <row r="163" spans="1:39" x14ac:dyDescent="0.25">
      <c r="A163" t="s">
        <v>504</v>
      </c>
      <c r="B163" t="str">
        <f>HYPERLINK("https://www.senado.gob.ar/parlamentario/comisiones/verExp/5.25/CD/PL","5")</f>
        <v>5</v>
      </c>
      <c r="C163" t="str">
        <f>HYPERLINK("https://www.senado.gob.ar/parlamentario/comisiones/verExp/5.25/CD/PL","2025")</f>
        <v>2025</v>
      </c>
      <c r="D163" t="s">
        <v>56</v>
      </c>
      <c r="E163" t="s">
        <v>567</v>
      </c>
      <c r="F163" t="s">
        <v>563</v>
      </c>
      <c r="I163" t="s">
        <v>145</v>
      </c>
      <c r="K163" t="s">
        <v>48</v>
      </c>
      <c r="L163" t="s">
        <v>138</v>
      </c>
      <c r="O163">
        <v>54</v>
      </c>
      <c r="P163" t="s">
        <v>90</v>
      </c>
      <c r="Q163" t="s">
        <v>568</v>
      </c>
      <c r="R163" t="s">
        <v>92</v>
      </c>
      <c r="S163">
        <v>70</v>
      </c>
      <c r="T163" t="s">
        <v>549</v>
      </c>
      <c r="U163" t="s">
        <v>564</v>
      </c>
      <c r="V163" t="s">
        <v>92</v>
      </c>
      <c r="AI163" t="str">
        <f>HYPERLINK("","")</f>
        <v/>
      </c>
      <c r="AJ163" t="s">
        <v>565</v>
      </c>
      <c r="AK163" t="s">
        <v>569</v>
      </c>
    </row>
    <row r="164" spans="1:39" x14ac:dyDescent="0.25">
      <c r="A164" t="s">
        <v>504</v>
      </c>
      <c r="B164" t="str">
        <f>HYPERLINK("https://www.senado.gob.ar/parlamentario/comisiones/verExp/4.25/CD/PL","4")</f>
        <v>4</v>
      </c>
      <c r="C164" t="str">
        <f>HYPERLINK("https://www.senado.gob.ar/parlamentario/comisiones/verExp/4.25/CD/PL","2025")</f>
        <v>2025</v>
      </c>
      <c r="D164" t="s">
        <v>56</v>
      </c>
      <c r="E164" t="s">
        <v>570</v>
      </c>
      <c r="F164" t="s">
        <v>563</v>
      </c>
      <c r="I164" t="s">
        <v>145</v>
      </c>
      <c r="K164" t="s">
        <v>48</v>
      </c>
      <c r="L164" t="s">
        <v>138</v>
      </c>
      <c r="O164">
        <v>61</v>
      </c>
      <c r="P164" t="s">
        <v>51</v>
      </c>
      <c r="Q164" t="s">
        <v>564</v>
      </c>
      <c r="R164" t="s">
        <v>92</v>
      </c>
      <c r="S164">
        <v>54</v>
      </c>
      <c r="T164" t="s">
        <v>90</v>
      </c>
      <c r="U164" t="s">
        <v>564</v>
      </c>
      <c r="V164" t="s">
        <v>92</v>
      </c>
      <c r="AI164" t="str">
        <f>HYPERLINK("","")</f>
        <v/>
      </c>
      <c r="AJ164" t="s">
        <v>571</v>
      </c>
      <c r="AK164" t="s">
        <v>572</v>
      </c>
    </row>
  </sheetData>
  <sheetProtection formatCells="0" formatColumns="0" formatRows="0" insertColumns="0" insertRows="0" insertHyperlinks="0" deleteColumns="0" deleteRows="0" sort="0" autoFilter="0" pivotTables="0"/>
  <hyperlinks>
    <hyperlink ref="B7" r:id="rId1" display="https://www.senado.gob.ar/parlamentario/comisiones/verExp/1431.25/S/PR"/>
    <hyperlink ref="C7" r:id="rId2" display="https://www.senado.gob.ar/parlamentario/comisiones/verExp/1431.25/S/PR"/>
    <hyperlink ref="B8" r:id="rId3" display="https://www.senado.gob.ar/parlamentario/comisiones/verExp/1318.25/S/PL"/>
    <hyperlink ref="C8" r:id="rId4" display="https://www.senado.gob.ar/parlamentario/comisiones/verExp/1318.25/S/PL"/>
    <hyperlink ref="AI8" r:id="rId5" display="https://www.senado.gob.ar/parlamentario/parlamentaria/ordenDelDiaResultadoLink/2025/428"/>
    <hyperlink ref="B9" r:id="rId6" display="https://www.senado.gob.ar/parlamentario/comisiones/verExp/1309.25/S/PD"/>
    <hyperlink ref="C9" r:id="rId7" display="https://www.senado.gob.ar/parlamentario/comisiones/verExp/1309.25/S/PD"/>
    <hyperlink ref="AI9" r:id="rId8" display="https://www.senado.gob.ar/parlamentario/parlamentaria/ordenDelDiaResultadoLink/2025/418"/>
    <hyperlink ref="B10" r:id="rId9" display="https://www.senado.gob.ar/parlamentario/comisiones/verExp/1282.25/S/PD"/>
    <hyperlink ref="C10" r:id="rId10" display="https://www.senado.gob.ar/parlamentario/comisiones/verExp/1282.25/S/PD"/>
    <hyperlink ref="AI10" r:id="rId11" display="https://www.senado.gob.ar/parlamentario/parlamentaria/ordenDelDiaResultadoLink/2025/414"/>
    <hyperlink ref="B11" r:id="rId12" display="https://www.senado.gob.ar/parlamentario/comisiones/verExp/1168.25/S/PL"/>
    <hyperlink ref="C11" r:id="rId13" display="https://www.senado.gob.ar/parlamentario/comisiones/verExp/1168.25/S/PL"/>
    <hyperlink ref="B12" r:id="rId14" display="https://www.senado.gob.ar/parlamentario/comisiones/verExp/1167.25/S/PL"/>
    <hyperlink ref="C12" r:id="rId15" display="https://www.senado.gob.ar/parlamentario/comisiones/verExp/1167.25/S/PL"/>
    <hyperlink ref="B13" r:id="rId16" display="https://www.senado.gob.ar/parlamentario/comisiones/verExp/1161.25/S/PD"/>
    <hyperlink ref="C13" r:id="rId17" display="https://www.senado.gob.ar/parlamentario/comisiones/verExp/1161.25/S/PD"/>
    <hyperlink ref="AI13" r:id="rId18" display="https://www.senado.gob.ar/parlamentario/parlamentaria/ordenDelDiaResultadoLink/2025/378"/>
    <hyperlink ref="B14" r:id="rId19" display="https://www.senado.gob.ar/parlamentario/comisiones/verExp/1151.25/S/PD"/>
    <hyperlink ref="C14" r:id="rId20" display="https://www.senado.gob.ar/parlamentario/comisiones/verExp/1151.25/S/PD"/>
    <hyperlink ref="AI14" r:id="rId21" display="https://www.senado.gob.ar/parlamentario/parlamentaria/ordenDelDiaResultadoLink/2025/411"/>
    <hyperlink ref="B15" r:id="rId22" display="https://www.senado.gob.ar/parlamentario/comisiones/verExp/1138.25/S/PD"/>
    <hyperlink ref="C15" r:id="rId23" display="https://www.senado.gob.ar/parlamentario/comisiones/verExp/1138.25/S/PD"/>
    <hyperlink ref="AI15" r:id="rId24" display="https://www.senado.gob.ar/parlamentario/parlamentaria/ordenDelDiaResultadoLink/2025/409"/>
    <hyperlink ref="B16" r:id="rId25" display="https://www.senado.gob.ar/parlamentario/comisiones/verExp/1067.25/S/PD"/>
    <hyperlink ref="C16" r:id="rId26" display="https://www.senado.gob.ar/parlamentario/comisiones/verExp/1067.25/S/PD"/>
    <hyperlink ref="AI16" r:id="rId27" display="https://www.senado.gob.ar/parlamentario/parlamentaria/ordenDelDiaResultadoLink/2025/410"/>
    <hyperlink ref="B17" r:id="rId28" display="https://www.senado.gob.ar/parlamentario/comisiones/verExp/1058.25/S/PD"/>
    <hyperlink ref="C17" r:id="rId29" display="https://www.senado.gob.ar/parlamentario/comisiones/verExp/1058.25/S/PD"/>
    <hyperlink ref="AI17" r:id="rId30" display="https://www.senado.gob.ar/parlamentario/parlamentaria/ordenDelDiaResultadoLink/2025/404"/>
    <hyperlink ref="B18" r:id="rId31" display="https://www.senado.gob.ar/parlamentario/comisiones/verExp/1056.25/S/PD"/>
    <hyperlink ref="C18" r:id="rId32" display="https://www.senado.gob.ar/parlamentario/comisiones/verExp/1056.25/S/PD"/>
    <hyperlink ref="AI18" r:id="rId33" display="https://www.senado.gob.ar/parlamentario/parlamentaria/ordenDelDiaResultadoLink/2025/544"/>
    <hyperlink ref="B19" r:id="rId34" display="https://www.senado.gob.ar/parlamentario/comisiones/verExp/1050.25/S/PD"/>
    <hyperlink ref="C19" r:id="rId35" display="https://www.senado.gob.ar/parlamentario/comisiones/verExp/1050.25/S/PD"/>
    <hyperlink ref="AI19" r:id="rId36" display="https://www.senado.gob.ar/parlamentario/parlamentaria/ordenDelDiaResultadoLink/2025/413"/>
    <hyperlink ref="B20" r:id="rId37" display="https://www.senado.gob.ar/parlamentario/comisiones/verExp/1033.25/S/PD"/>
    <hyperlink ref="C20" r:id="rId38" display="https://www.senado.gob.ar/parlamentario/comisiones/verExp/1033.25/S/PD"/>
    <hyperlink ref="AI20" r:id="rId39" display="https://www.senado.gob.ar/parlamentario/parlamentaria/ordenDelDiaResultadoLink/2025/411"/>
    <hyperlink ref="B21" r:id="rId40" display="https://www.senado.gob.ar/parlamentario/comisiones/verExp/1031.25/S/PD"/>
    <hyperlink ref="C21" r:id="rId41" display="https://www.senado.gob.ar/parlamentario/comisiones/verExp/1031.25/S/PD"/>
    <hyperlink ref="AI21" r:id="rId42" display="https://www.senado.gob.ar/parlamentario/parlamentaria/ordenDelDiaResultadoLink/2025/416"/>
    <hyperlink ref="B22" r:id="rId43" display="https://www.senado.gob.ar/parlamentario/comisiones/verExp/1014.25/S/PD"/>
    <hyperlink ref="C22" r:id="rId44" display="https://www.senado.gob.ar/parlamentario/comisiones/verExp/1014.25/S/PD"/>
    <hyperlink ref="AI22" r:id="rId45" display="https://www.senado.gob.ar/parlamentario/parlamentaria/ordenDelDiaResultadoLink/2025/411"/>
    <hyperlink ref="B23" r:id="rId46" display="https://www.senado.gob.ar/parlamentario/comisiones/verExp/1010.25/S/PD"/>
    <hyperlink ref="C23" r:id="rId47" display="https://www.senado.gob.ar/parlamentario/comisiones/verExp/1010.25/S/PD"/>
    <hyperlink ref="AI23" r:id="rId48" display="https://www.senado.gob.ar/parlamentario/parlamentaria/ordenDelDiaResultadoLink/2025/411"/>
    <hyperlink ref="B24" r:id="rId49" display="https://www.senado.gob.ar/parlamentario/comisiones/verExp/1002.25/S/PD"/>
    <hyperlink ref="C24" r:id="rId50" display="https://www.senado.gob.ar/parlamentario/comisiones/verExp/1002.25/S/PD"/>
    <hyperlink ref="AI24" r:id="rId51" display="https://www.senado.gob.ar/parlamentario/parlamentaria/ordenDelDiaResultadoLink/2025/411"/>
    <hyperlink ref="B25" r:id="rId52" display="https://www.senado.gob.ar/parlamentario/comisiones/verExp/986.25/S/PD"/>
    <hyperlink ref="C25" r:id="rId53" display="https://www.senado.gob.ar/parlamentario/comisiones/verExp/986.25/S/PD"/>
    <hyperlink ref="AI25" r:id="rId54" display="https://www.senado.gob.ar/parlamentario/parlamentaria/ordenDelDiaResultadoLink/2025/537"/>
    <hyperlink ref="B26" r:id="rId55" display="https://www.senado.gob.ar/parlamentario/comisiones/verExp/985.25/S/PD"/>
    <hyperlink ref="C26" r:id="rId56" display="https://www.senado.gob.ar/parlamentario/comisiones/verExp/985.25/S/PD"/>
    <hyperlink ref="AI26" r:id="rId57" display="https://www.senado.gob.ar/parlamentario/parlamentaria/ordenDelDiaResultadoLink/2025/547"/>
    <hyperlink ref="B27" r:id="rId58" display="https://www.senado.gob.ar/parlamentario/comisiones/verExp/981.25/S/PD"/>
    <hyperlink ref="C27" r:id="rId59" display="https://www.senado.gob.ar/parlamentario/comisiones/verExp/981.25/S/PD"/>
    <hyperlink ref="AI27" r:id="rId60" display="https://www.senado.gob.ar/parlamentario/parlamentaria/ordenDelDiaResultadoLink/2025/546"/>
    <hyperlink ref="B28" r:id="rId61" display="https://www.senado.gob.ar/parlamentario/comisiones/verExp/977.25/S/PD"/>
    <hyperlink ref="C28" r:id="rId62" display="https://www.senado.gob.ar/parlamentario/comisiones/verExp/977.25/S/PD"/>
    <hyperlink ref="AI28" r:id="rId63" display="https://www.senado.gob.ar/parlamentario/parlamentaria/ordenDelDiaResultadoLink/2025/545"/>
    <hyperlink ref="B29" r:id="rId64" display="https://www.senado.gob.ar/parlamentario/comisiones/verExp/974.25/S/PD"/>
    <hyperlink ref="C29" r:id="rId65" display="https://www.senado.gob.ar/parlamentario/comisiones/verExp/974.25/S/PD"/>
    <hyperlink ref="AI29" r:id="rId66" display="https://www.senado.gob.ar/parlamentario/parlamentaria/ordenDelDiaResultadoLink/2025/540"/>
    <hyperlink ref="B30" r:id="rId67" display="https://www.senado.gob.ar/parlamentario/comisiones/verExp/930.25/S/PD"/>
    <hyperlink ref="C30" r:id="rId68" display="https://www.senado.gob.ar/parlamentario/comisiones/verExp/930.25/S/PD"/>
    <hyperlink ref="AI30" r:id="rId69" display="https://www.senado.gob.ar/parlamentario/parlamentaria/ordenDelDiaResultadoLink/2025/403"/>
    <hyperlink ref="B31" r:id="rId70" display="https://www.senado.gob.ar/parlamentario/comisiones/verExp/899.25/S/PD"/>
    <hyperlink ref="C31" r:id="rId71" display="https://www.senado.gob.ar/parlamentario/comisiones/verExp/899.25/S/PD"/>
    <hyperlink ref="AI31" r:id="rId72" display="https://www.senado.gob.ar/parlamentario/parlamentaria/ordenDelDiaResultadoLink/2025/403"/>
    <hyperlink ref="B32" r:id="rId73" display="https://www.senado.gob.ar/parlamentario/comisiones/verExp/888.25/S/PD"/>
    <hyperlink ref="C32" r:id="rId74" display="https://www.senado.gob.ar/parlamentario/comisiones/verExp/888.25/S/PD"/>
    <hyperlink ref="AI32" r:id="rId75" display="https://www.senado.gob.ar/parlamentario/parlamentaria/ordenDelDiaResultadoLink/2025/412"/>
    <hyperlink ref="B33" r:id="rId76" display="https://www.senado.gob.ar/parlamentario/comisiones/verExp/887.25/S/PD"/>
    <hyperlink ref="C33" r:id="rId77" display="https://www.senado.gob.ar/parlamentario/comisiones/verExp/887.25/S/PD"/>
    <hyperlink ref="AI33" r:id="rId78" display="https://www.senado.gob.ar/parlamentario/parlamentaria/ordenDelDiaResultadoLink/2025/550"/>
    <hyperlink ref="B34" r:id="rId79" display="https://www.senado.gob.ar/parlamentario/comisiones/verExp/886.25/S/PD"/>
    <hyperlink ref="C34" r:id="rId80" display="https://www.senado.gob.ar/parlamentario/comisiones/verExp/886.25/S/PD"/>
    <hyperlink ref="AI34" r:id="rId81" display="https://www.senado.gob.ar/parlamentario/parlamentaria/ordenDelDiaResultadoLink/2025/549"/>
    <hyperlink ref="B35" r:id="rId82" display="https://www.senado.gob.ar/parlamentario/comisiones/verExp/885.25/S/PD"/>
    <hyperlink ref="C35" r:id="rId83" display="https://www.senado.gob.ar/parlamentario/comisiones/verExp/885.25/S/PD"/>
    <hyperlink ref="AI35" r:id="rId84" display="https://www.senado.gob.ar/parlamentario/parlamentaria/ordenDelDiaResultadoLink/2025/283"/>
    <hyperlink ref="B36" r:id="rId85" display="https://www.senado.gob.ar/parlamentario/comisiones/verExp/878.25/S/PD"/>
    <hyperlink ref="C36" r:id="rId86" display="https://www.senado.gob.ar/parlamentario/comisiones/verExp/878.25/S/PD"/>
    <hyperlink ref="AI36" r:id="rId87" display="https://www.senado.gob.ar/parlamentario/parlamentaria/ordenDelDiaResultadoLink/2025/403"/>
    <hyperlink ref="B37" r:id="rId88" display="https://www.senado.gob.ar/parlamentario/comisiones/verExp/873.25/S/PD"/>
    <hyperlink ref="C37" r:id="rId89" display="https://www.senado.gob.ar/parlamentario/comisiones/verExp/873.25/S/PD"/>
    <hyperlink ref="AI37" r:id="rId90" display="https://www.senado.gob.ar/parlamentario/parlamentaria/ordenDelDiaResultadoLink/2025/542"/>
    <hyperlink ref="B38" r:id="rId91" display="https://www.senado.gob.ar/parlamentario/comisiones/verExp/852.25/S/PD"/>
    <hyperlink ref="C38" r:id="rId92" display="https://www.senado.gob.ar/parlamentario/comisiones/verExp/852.25/S/PD"/>
    <hyperlink ref="AI38" r:id="rId93" display="https://www.senado.gob.ar/parlamentario/parlamentaria/ordenDelDiaResultadoLink/2025/283"/>
    <hyperlink ref="B39" r:id="rId94" display="https://www.senado.gob.ar/parlamentario/comisiones/verExp/851.25/S/PD"/>
    <hyperlink ref="C39" r:id="rId95" display="https://www.senado.gob.ar/parlamentario/comisiones/verExp/851.25/S/PD"/>
    <hyperlink ref="AI39" r:id="rId96" display="https://www.senado.gob.ar/parlamentario/parlamentaria/ordenDelDiaResultadoLink/2025/408"/>
    <hyperlink ref="B40" r:id="rId97" display="https://www.senado.gob.ar/parlamentario/comisiones/verExp/841.25/S/PD"/>
    <hyperlink ref="C40" r:id="rId98" display="https://www.senado.gob.ar/parlamentario/comisiones/verExp/841.25/S/PD"/>
    <hyperlink ref="AI40" r:id="rId99" display="https://www.senado.gob.ar/parlamentario/parlamentaria/ordenDelDiaResultadoLink/2025/407"/>
    <hyperlink ref="B41" r:id="rId100" display="https://www.senado.gob.ar/parlamentario/comisiones/verExp/818.25/S/PD"/>
    <hyperlink ref="C41" r:id="rId101" display="https://www.senado.gob.ar/parlamentario/comisiones/verExp/818.25/S/PD"/>
    <hyperlink ref="AI41" r:id="rId102" display="https://www.senado.gob.ar/parlamentario/parlamentaria/ordenDelDiaResultadoLink/2025/415"/>
    <hyperlink ref="B42" r:id="rId103" display="https://www.senado.gob.ar/parlamentario/comisiones/verExp/817.25/S/PD"/>
    <hyperlink ref="C42" r:id="rId104" display="https://www.senado.gob.ar/parlamentario/comisiones/verExp/817.25/S/PD"/>
    <hyperlink ref="AI42" r:id="rId105" display="https://www.senado.gob.ar/parlamentario/parlamentaria/ordenDelDiaResultadoLink/2025/517"/>
    <hyperlink ref="B43" r:id="rId106" display="https://www.senado.gob.ar/parlamentario/comisiones/verExp/799.25/S/PD"/>
    <hyperlink ref="C43" r:id="rId107" display="https://www.senado.gob.ar/parlamentario/comisiones/verExp/799.25/S/PD"/>
    <hyperlink ref="AI43" r:id="rId108" display="https://www.senado.gob.ar/parlamentario/parlamentaria/ordenDelDiaResultadoLink/2025/417"/>
    <hyperlink ref="B44" r:id="rId109" display="https://www.senado.gob.ar/parlamentario/comisiones/verExp/791.25/S/PD"/>
    <hyperlink ref="C44" r:id="rId110" display="https://www.senado.gob.ar/parlamentario/comisiones/verExp/791.25/S/PD"/>
    <hyperlink ref="AI44" r:id="rId111" display="https://www.senado.gob.ar/parlamentario/parlamentaria/ordenDelDiaResultadoLink/2025/516"/>
    <hyperlink ref="B45" r:id="rId112" display="https://www.senado.gob.ar/parlamentario/comisiones/verExp/789.25/S/PD"/>
    <hyperlink ref="C45" r:id="rId113" display="https://www.senado.gob.ar/parlamentario/comisiones/verExp/789.25/S/PD"/>
    <hyperlink ref="AI45" r:id="rId114" display="https://www.senado.gob.ar/parlamentario/parlamentaria/ordenDelDiaResultadoLink/2025/315"/>
    <hyperlink ref="B46" r:id="rId115" display="https://www.senado.gob.ar/parlamentario/comisiones/verExp/782.25/S/PD"/>
    <hyperlink ref="C46" r:id="rId116" display="https://www.senado.gob.ar/parlamentario/comisiones/verExp/782.25/S/PD"/>
    <hyperlink ref="AI46" r:id="rId117" display="https://www.senado.gob.ar/parlamentario/parlamentaria/ordenDelDiaResultadoLink/2025/456"/>
    <hyperlink ref="B47" r:id="rId118" display="https://www.senado.gob.ar/parlamentario/comisiones/verExp/775.25/S/PD"/>
    <hyperlink ref="C47" r:id="rId119" display="https://www.senado.gob.ar/parlamentario/comisiones/verExp/775.25/S/PD"/>
    <hyperlink ref="AI47" r:id="rId120" display="https://www.senado.gob.ar/parlamentario/parlamentaria/ordenDelDiaResultadoLink/2025/548"/>
    <hyperlink ref="B48" r:id="rId121" display="https://www.senado.gob.ar/parlamentario/comisiones/verExp/772.25/S/PD"/>
    <hyperlink ref="C48" r:id="rId122" display="https://www.senado.gob.ar/parlamentario/comisiones/verExp/772.25/S/PD"/>
    <hyperlink ref="AI48" r:id="rId123" display="https://www.senado.gob.ar/parlamentario/parlamentaria/ordenDelDiaResultadoLink/2025/282"/>
    <hyperlink ref="B49" r:id="rId124" display="https://www.senado.gob.ar/parlamentario/comisiones/verExp/723.25/S/PD"/>
    <hyperlink ref="C49" r:id="rId125" display="https://www.senado.gob.ar/parlamentario/comisiones/verExp/723.25/S/PD"/>
    <hyperlink ref="AI49" r:id="rId126" display="https://www.senado.gob.ar/parlamentario/parlamentaria/ordenDelDiaResultadoLink/2025/400"/>
    <hyperlink ref="B50" r:id="rId127" display="https://www.senado.gob.ar/parlamentario/comisiones/verExp/722.25/S/PD"/>
    <hyperlink ref="C50" r:id="rId128" display="https://www.senado.gob.ar/parlamentario/comisiones/verExp/722.25/S/PD"/>
    <hyperlink ref="AI50" r:id="rId129" display="https://www.senado.gob.ar/parlamentario/parlamentaria/ordenDelDiaResultadoLink/2025/399"/>
    <hyperlink ref="B51" r:id="rId130" display="https://www.senado.gob.ar/parlamentario/comisiones/verExp/718.25/S/PD"/>
    <hyperlink ref="C51" r:id="rId131" display="https://www.senado.gob.ar/parlamentario/comisiones/verExp/718.25/S/PD"/>
    <hyperlink ref="AI51" r:id="rId132" display="https://www.senado.gob.ar/parlamentario/parlamentaria/ordenDelDiaResultadoLink/2025/536"/>
    <hyperlink ref="B52" r:id="rId133" display="https://www.senado.gob.ar/parlamentario/comisiones/verExp/710.25/S/PD"/>
    <hyperlink ref="C52" r:id="rId134" display="https://www.senado.gob.ar/parlamentario/comisiones/verExp/710.25/S/PD"/>
    <hyperlink ref="AI52" r:id="rId135" display="https://www.senado.gob.ar/parlamentario/parlamentaria/ordenDelDiaResultadoLink/2025/535"/>
    <hyperlink ref="B53" r:id="rId136" display="https://www.senado.gob.ar/parlamentario/comisiones/verExp/702.25/S/PD"/>
    <hyperlink ref="C53" r:id="rId137" display="https://www.senado.gob.ar/parlamentario/comisiones/verExp/702.25/S/PD"/>
    <hyperlink ref="AI53" r:id="rId138" display="https://www.senado.gob.ar/parlamentario/parlamentaria/ordenDelDiaResultadoLink/2025/397"/>
    <hyperlink ref="B54" r:id="rId139" display="https://www.senado.gob.ar/parlamentario/comisiones/verExp/700.25/S/PD"/>
    <hyperlink ref="C54" r:id="rId140" display="https://www.senado.gob.ar/parlamentario/comisiones/verExp/700.25/S/PD"/>
    <hyperlink ref="AI54" r:id="rId141" display="https://www.senado.gob.ar/parlamentario/parlamentaria/ordenDelDiaResultadoLink/2025/325"/>
    <hyperlink ref="B55" r:id="rId142" display="https://www.senado.gob.ar/parlamentario/comisiones/verExp/691.25/S/PD"/>
    <hyperlink ref="C55" r:id="rId143" display="https://www.senado.gob.ar/parlamentario/comisiones/verExp/691.25/S/PD"/>
    <hyperlink ref="AI55" r:id="rId144" display="https://www.senado.gob.ar/parlamentario/parlamentaria/ordenDelDiaResultadoLink/2025/282"/>
    <hyperlink ref="B56" r:id="rId145" display="https://www.senado.gob.ar/parlamentario/comisiones/verExp/681.25/S/PL"/>
    <hyperlink ref="C56" r:id="rId146" display="https://www.senado.gob.ar/parlamentario/comisiones/verExp/681.25/S/PL"/>
    <hyperlink ref="AI56" r:id="rId147" display="https://www.senado.gob.ar/parlamentario/parlamentaria/ordenDelDiaResultadoLink/2025/299"/>
    <hyperlink ref="B57" r:id="rId148" display="https://www.senado.gob.ar/parlamentario/comisiones/verExp/674.25/S/PD"/>
    <hyperlink ref="C57" r:id="rId149" display="https://www.senado.gob.ar/parlamentario/comisiones/verExp/674.25/S/PD"/>
    <hyperlink ref="AI57" r:id="rId150" display="https://www.senado.gob.ar/parlamentario/parlamentaria/ordenDelDiaResultadoLink/2025/343"/>
    <hyperlink ref="B58" r:id="rId151" display="https://www.senado.gob.ar/parlamentario/comisiones/verExp/673.25/S/PD"/>
    <hyperlink ref="C58" r:id="rId152" display="https://www.senado.gob.ar/parlamentario/comisiones/verExp/673.25/S/PD"/>
    <hyperlink ref="AI58" r:id="rId153" display="https://www.senado.gob.ar/parlamentario/parlamentaria/ordenDelDiaResultadoLink/2025/345"/>
    <hyperlink ref="B59" r:id="rId154" display="https://www.senado.gob.ar/parlamentario/comisiones/verExp/660.25/S/PD"/>
    <hyperlink ref="C59" r:id="rId155" display="https://www.senado.gob.ar/parlamentario/comisiones/verExp/660.25/S/PD"/>
    <hyperlink ref="AI59" r:id="rId156" display="https://www.senado.gob.ar/parlamentario/parlamentaria/ordenDelDiaResultadoLink/2025/327"/>
    <hyperlink ref="B60" r:id="rId157" display="https://www.senado.gob.ar/parlamentario/comisiones/verExp/659.25/S/PD"/>
    <hyperlink ref="C60" r:id="rId158" display="https://www.senado.gob.ar/parlamentario/comisiones/verExp/659.25/S/PD"/>
    <hyperlink ref="AI60" r:id="rId159" display="https://www.senado.gob.ar/parlamentario/parlamentaria/ordenDelDiaResultadoLink/2025/342"/>
    <hyperlink ref="B61" r:id="rId160" display="https://www.senado.gob.ar/parlamentario/comisiones/verExp/653.25/S/PD"/>
    <hyperlink ref="C61" r:id="rId161" display="https://www.senado.gob.ar/parlamentario/comisiones/verExp/653.25/S/PD"/>
    <hyperlink ref="AI61" r:id="rId162" display="https://www.senado.gob.ar/parlamentario/parlamentaria/ordenDelDiaResultadoLink/2025/520"/>
    <hyperlink ref="B62" r:id="rId163" display="https://www.senado.gob.ar/parlamentario/comisiones/verExp/650.25/S/PD"/>
    <hyperlink ref="C62" r:id="rId164" display="https://www.senado.gob.ar/parlamentario/comisiones/verExp/650.25/S/PD"/>
    <hyperlink ref="AI62" r:id="rId165" display="https://www.senado.gob.ar/parlamentario/parlamentaria/ordenDelDiaResultadoLink/2025/281"/>
    <hyperlink ref="B63" r:id="rId166" display="https://www.senado.gob.ar/parlamentario/comisiones/verExp/647.25/S/PD"/>
    <hyperlink ref="C63" r:id="rId167" display="https://www.senado.gob.ar/parlamentario/comisiones/verExp/647.25/S/PD"/>
    <hyperlink ref="AI63" r:id="rId168" display="https://www.senado.gob.ar/parlamentario/parlamentaria/ordenDelDiaResultadoLink/2025/534"/>
    <hyperlink ref="B64" r:id="rId169" display="https://www.senado.gob.ar/parlamentario/comisiones/verExp/646.25/S/PD"/>
    <hyperlink ref="C64" r:id="rId170" display="https://www.senado.gob.ar/parlamentario/comisiones/verExp/646.25/S/PD"/>
    <hyperlink ref="AI64" r:id="rId171" display="https://www.senado.gob.ar/parlamentario/parlamentaria/ordenDelDiaResultadoLink/2025/533"/>
    <hyperlink ref="B65" r:id="rId172" display="https://www.senado.gob.ar/parlamentario/comisiones/verExp/635.25/S/PD"/>
    <hyperlink ref="C65" r:id="rId173" display="https://www.senado.gob.ar/parlamentario/comisiones/verExp/635.25/S/PD"/>
    <hyperlink ref="AI65" r:id="rId174" display="https://www.senado.gob.ar/parlamentario/parlamentaria/ordenDelDiaResultadoLink/2025/532"/>
    <hyperlink ref="B66" r:id="rId175" display="https://www.senado.gob.ar/parlamentario/comisiones/verExp/588.25/S/PD"/>
    <hyperlink ref="C66" r:id="rId176" display="https://www.senado.gob.ar/parlamentario/comisiones/verExp/588.25/S/PD"/>
    <hyperlink ref="AI66" r:id="rId177" display="https://www.senado.gob.ar/parlamentario/parlamentaria/ordenDelDiaResultadoLink/2025/344"/>
    <hyperlink ref="B67" r:id="rId178" display="https://www.senado.gob.ar/parlamentario/comisiones/verExp/583.25/S/PD"/>
    <hyperlink ref="C67" r:id="rId179" display="https://www.senado.gob.ar/parlamentario/comisiones/verExp/583.25/S/PD"/>
    <hyperlink ref="AI67" r:id="rId180" display="https://www.senado.gob.ar/parlamentario/parlamentaria/ordenDelDiaResultadoLink/2025/281"/>
    <hyperlink ref="B68" r:id="rId181" display="https://www.senado.gob.ar/parlamentario/comisiones/verExp/580.25/S/PD"/>
    <hyperlink ref="C68" r:id="rId182" display="https://www.senado.gob.ar/parlamentario/comisiones/verExp/580.25/S/PD"/>
    <hyperlink ref="AI68" r:id="rId183" display="https://www.senado.gob.ar/parlamentario/parlamentaria/ordenDelDiaResultadoLink/2025/320"/>
    <hyperlink ref="B69" r:id="rId184" display="https://www.senado.gob.ar/parlamentario/comisiones/verExp/577.25/S/PD"/>
    <hyperlink ref="C69" r:id="rId185" display="https://www.senado.gob.ar/parlamentario/comisiones/verExp/577.25/S/PD"/>
    <hyperlink ref="AI69" r:id="rId186" display="https://www.senado.gob.ar/parlamentario/parlamentaria/ordenDelDiaResultadoLink/2025/343"/>
    <hyperlink ref="B70" r:id="rId187" display="https://www.senado.gob.ar/parlamentario/comisiones/verExp/576.25/S/PD"/>
    <hyperlink ref="C70" r:id="rId188" display="https://www.senado.gob.ar/parlamentario/comisiones/verExp/576.25/S/PD"/>
    <hyperlink ref="AI70" r:id="rId189" display="https://www.senado.gob.ar/parlamentario/parlamentaria/ordenDelDiaResultadoLink/2025/521"/>
    <hyperlink ref="B71" r:id="rId190" display="https://www.senado.gob.ar/parlamentario/comisiones/verExp/574.25/S/PD"/>
    <hyperlink ref="C71" r:id="rId191" display="https://www.senado.gob.ar/parlamentario/comisiones/verExp/574.25/S/PD"/>
    <hyperlink ref="AI71" r:id="rId192" display="https://www.senado.gob.ar/parlamentario/parlamentaria/ordenDelDiaResultadoLink/2025/341"/>
    <hyperlink ref="B72" r:id="rId193" display="https://www.senado.gob.ar/parlamentario/comisiones/verExp/573.25/S/PD"/>
    <hyperlink ref="C72" r:id="rId194" display="https://www.senado.gob.ar/parlamentario/comisiones/verExp/573.25/S/PD"/>
    <hyperlink ref="AI72" r:id="rId195" display="https://www.senado.gob.ar/parlamentario/parlamentaria/ordenDelDiaResultadoLink/2025/523"/>
    <hyperlink ref="B73" r:id="rId196" display="https://www.senado.gob.ar/parlamentario/comisiones/verExp/569.25/S/PD"/>
    <hyperlink ref="C73" r:id="rId197" display="https://www.senado.gob.ar/parlamentario/comisiones/verExp/569.25/S/PD"/>
    <hyperlink ref="AI73" r:id="rId198" display="https://www.senado.gob.ar/parlamentario/parlamentaria/ordenDelDiaResultadoLink/2025/221"/>
    <hyperlink ref="B74" r:id="rId199" display="https://www.senado.gob.ar/parlamentario/comisiones/verExp/539.25/S/PD"/>
    <hyperlink ref="C74" r:id="rId200" display="https://www.senado.gob.ar/parlamentario/comisiones/verExp/539.25/S/PD"/>
    <hyperlink ref="AI74" r:id="rId201" display="https://www.senado.gob.ar/parlamentario/parlamentaria/ordenDelDiaResultadoLink/2025/280"/>
    <hyperlink ref="B75" r:id="rId202" display="https://www.senado.gob.ar/parlamentario/comisiones/verExp/524.25/S/PD"/>
    <hyperlink ref="C75" r:id="rId203" display="https://www.senado.gob.ar/parlamentario/comisiones/verExp/524.25/S/PD"/>
    <hyperlink ref="AI75" r:id="rId204" display="https://www.senado.gob.ar/parlamentario/parlamentaria/ordenDelDiaResultadoLink/2025/326"/>
    <hyperlink ref="B76" r:id="rId205" display="https://www.senado.gob.ar/parlamentario/comisiones/verExp/518.25/S/PD"/>
    <hyperlink ref="C76" r:id="rId206" display="https://www.senado.gob.ar/parlamentario/comisiones/verExp/518.25/S/PD"/>
    <hyperlink ref="AI76" r:id="rId207" display="https://www.senado.gob.ar/parlamentario/parlamentaria/ordenDelDiaResultadoLink/2025/220"/>
    <hyperlink ref="B77" r:id="rId208" display="https://www.senado.gob.ar/parlamentario/comisiones/verExp/487.25/S/PD"/>
    <hyperlink ref="C77" r:id="rId209" display="https://www.senado.gob.ar/parlamentario/comisiones/verExp/487.25/S/PD"/>
    <hyperlink ref="AI77" r:id="rId210" display="https://www.senado.gob.ar/parlamentario/parlamentaria/ordenDelDiaResultadoLink/2025/340"/>
    <hyperlink ref="B78" r:id="rId211" display="https://www.senado.gob.ar/parlamentario/comisiones/verExp/486.25/S/PD"/>
    <hyperlink ref="C78" r:id="rId212" display="https://www.senado.gob.ar/parlamentario/comisiones/verExp/486.25/S/PD"/>
    <hyperlink ref="AI78" r:id="rId213" display="https://www.senado.gob.ar/parlamentario/parlamentaria/ordenDelDiaResultadoLink/2025/538"/>
    <hyperlink ref="B79" r:id="rId214" display="https://www.senado.gob.ar/parlamentario/comisiones/verExp/480.25/S/PD"/>
    <hyperlink ref="C79" r:id="rId215" display="https://www.senado.gob.ar/parlamentario/comisiones/verExp/480.25/S/PD"/>
    <hyperlink ref="AI79" r:id="rId216" display="https://www.senado.gob.ar/parlamentario/parlamentaria/ordenDelDiaResultadoLink/2025/522"/>
    <hyperlink ref="B80" r:id="rId217" display="https://www.senado.gob.ar/parlamentario/comisiones/verExp/476.25/S/PD"/>
    <hyperlink ref="C80" r:id="rId218" display="https://www.senado.gob.ar/parlamentario/comisiones/verExp/476.25/S/PD"/>
    <hyperlink ref="AI80" r:id="rId219" display="https://www.senado.gob.ar/parlamentario/parlamentaria/ordenDelDiaResultadoLink/2025/229"/>
    <hyperlink ref="B81" r:id="rId220" display="https://www.senado.gob.ar/parlamentario/comisiones/verExp/465.25/S/PD"/>
    <hyperlink ref="C81" r:id="rId221" display="https://www.senado.gob.ar/parlamentario/comisiones/verExp/465.25/S/PD"/>
    <hyperlink ref="AI81" r:id="rId222" display="https://www.senado.gob.ar/parlamentario/parlamentaria/ordenDelDiaResultadoLink/2025/531"/>
    <hyperlink ref="B82" r:id="rId223" display="https://www.senado.gob.ar/parlamentario/comisiones/verExp/460.25/S/PD"/>
    <hyperlink ref="C82" r:id="rId224" display="https://www.senado.gob.ar/parlamentario/comisiones/verExp/460.25/S/PD"/>
    <hyperlink ref="AI82" r:id="rId225" display="https://www.senado.gob.ar/parlamentario/parlamentaria/ordenDelDiaResultadoLink/2025/219"/>
    <hyperlink ref="B83" r:id="rId226" display="https://www.senado.gob.ar/parlamentario/comisiones/verExp/458.25/S/PD"/>
    <hyperlink ref="C83" r:id="rId227" display="https://www.senado.gob.ar/parlamentario/comisiones/verExp/458.25/S/PD"/>
    <hyperlink ref="AI83" r:id="rId228" display="https://www.senado.gob.ar/parlamentario/parlamentaria/ordenDelDiaResultadoLink/2025/218"/>
    <hyperlink ref="B84" r:id="rId229" display="https://www.senado.gob.ar/parlamentario/comisiones/verExp/456.25/S/PD"/>
    <hyperlink ref="C84" r:id="rId230" display="https://www.senado.gob.ar/parlamentario/comisiones/verExp/456.25/S/PD"/>
    <hyperlink ref="AI84" r:id="rId231" display="https://www.senado.gob.ar/parlamentario/parlamentaria/ordenDelDiaResultadoLink/2025/369"/>
    <hyperlink ref="B85" r:id="rId232" display="https://www.senado.gob.ar/parlamentario/comisiones/verExp/453.25/S/PD"/>
    <hyperlink ref="C85" r:id="rId233" display="https://www.senado.gob.ar/parlamentario/comisiones/verExp/453.25/S/PD"/>
    <hyperlink ref="AI85" r:id="rId234" display="https://www.senado.gob.ar/parlamentario/parlamentaria/ordenDelDiaResultadoLink/2025/210"/>
    <hyperlink ref="B86" r:id="rId235" display="https://www.senado.gob.ar/parlamentario/comisiones/verExp/450.25/S/PD"/>
    <hyperlink ref="C86" r:id="rId236" display="https://www.senado.gob.ar/parlamentario/comisiones/verExp/450.25/S/PD"/>
    <hyperlink ref="AI86" r:id="rId237" display="https://www.senado.gob.ar/parlamentario/parlamentaria/ordenDelDiaResultadoLink/2025/325"/>
    <hyperlink ref="B87" r:id="rId238" display="https://www.senado.gob.ar/parlamentario/comisiones/verExp/426.25/S/PD"/>
    <hyperlink ref="C87" r:id="rId239" display="https://www.senado.gob.ar/parlamentario/comisiones/verExp/426.25/S/PD"/>
    <hyperlink ref="AI87" r:id="rId240" display="https://www.senado.gob.ar/parlamentario/parlamentaria/ordenDelDiaResultadoLink/2025/314"/>
    <hyperlink ref="B88" r:id="rId241" display="https://www.senado.gob.ar/parlamentario/comisiones/verExp/425.25/S/PD"/>
    <hyperlink ref="C88" r:id="rId242" display="https://www.senado.gob.ar/parlamentario/comisiones/verExp/425.25/S/PD"/>
    <hyperlink ref="AI88" r:id="rId243" display="https://www.senado.gob.ar/parlamentario/parlamentaria/ordenDelDiaResultadoLink/2025/217"/>
    <hyperlink ref="B89" r:id="rId244" display="https://www.senado.gob.ar/parlamentario/comisiones/verExp/424.25/S/PD"/>
    <hyperlink ref="C89" r:id="rId245" display="https://www.senado.gob.ar/parlamentario/comisiones/verExp/424.25/S/PD"/>
    <hyperlink ref="AI89" r:id="rId246" display="https://www.senado.gob.ar/parlamentario/parlamentaria/ordenDelDiaResultadoLink/2025/339"/>
    <hyperlink ref="B90" r:id="rId247" display="https://www.senado.gob.ar/parlamentario/comisiones/verExp/422.25/S/PD"/>
    <hyperlink ref="C90" r:id="rId248" display="https://www.senado.gob.ar/parlamentario/comisiones/verExp/422.25/S/PD"/>
    <hyperlink ref="AI90" r:id="rId249" display="https://www.senado.gob.ar/parlamentario/parlamentaria/ordenDelDiaResultadoLink/2025/338"/>
    <hyperlink ref="B91" r:id="rId250" display="https://www.senado.gob.ar/parlamentario/comisiones/verExp/418.25/S/PD"/>
    <hyperlink ref="C91" r:id="rId251" display="https://www.senado.gob.ar/parlamentario/comisiones/verExp/418.25/S/PD"/>
    <hyperlink ref="AI91" r:id="rId252" display="https://www.senado.gob.ar/parlamentario/parlamentaria/ordenDelDiaResultadoLink/2025/337"/>
    <hyperlink ref="B92" r:id="rId253" display="https://www.senado.gob.ar/parlamentario/comisiones/verExp/416.25/S/PD"/>
    <hyperlink ref="C92" r:id="rId254" display="https://www.senado.gob.ar/parlamentario/comisiones/verExp/416.25/S/PD"/>
    <hyperlink ref="AI92" r:id="rId255" display="https://www.senado.gob.ar/parlamentario/parlamentaria/ordenDelDiaResultadoLink/2025/231"/>
    <hyperlink ref="B93" r:id="rId256" display="https://www.senado.gob.ar/parlamentario/comisiones/verExp/369.25/S/PD"/>
    <hyperlink ref="C93" r:id="rId257" display="https://www.senado.gob.ar/parlamentario/comisiones/verExp/369.25/S/PD"/>
    <hyperlink ref="AI93" r:id="rId258" display="https://www.senado.gob.ar/parlamentario/parlamentaria/ordenDelDiaResultadoLink/2025/324"/>
    <hyperlink ref="B94" r:id="rId259" display="https://www.senado.gob.ar/parlamentario/comisiones/verExp/354.25/S/PD"/>
    <hyperlink ref="C94" r:id="rId260" display="https://www.senado.gob.ar/parlamentario/comisiones/verExp/354.25/S/PD"/>
    <hyperlink ref="AI94" r:id="rId261" display="https://www.senado.gob.ar/parlamentario/parlamentaria/ordenDelDiaResultadoLink/2025/530"/>
    <hyperlink ref="B95" r:id="rId262" display="https://www.senado.gob.ar/parlamentario/comisiones/verExp/353.25/S/PD"/>
    <hyperlink ref="C95" r:id="rId263" display="https://www.senado.gob.ar/parlamentario/comisiones/verExp/353.25/S/PD"/>
    <hyperlink ref="AI95" r:id="rId264" display="https://www.senado.gob.ar/parlamentario/parlamentaria/ordenDelDiaResultadoLink/2025/323"/>
    <hyperlink ref="B96" r:id="rId265" display="https://www.senado.gob.ar/parlamentario/comisiones/verExp/332.25/S/PD"/>
    <hyperlink ref="C96" r:id="rId266" display="https://www.senado.gob.ar/parlamentario/comisiones/verExp/332.25/S/PD"/>
    <hyperlink ref="AI96" r:id="rId267" display="https://www.senado.gob.ar/parlamentario/parlamentaria/ordenDelDiaResultadoLink/2025/529"/>
    <hyperlink ref="B97" r:id="rId268" display="https://www.senado.gob.ar/parlamentario/comisiones/verExp/331.25/S/PD"/>
    <hyperlink ref="C97" r:id="rId269" display="https://www.senado.gob.ar/parlamentario/comisiones/verExp/331.25/S/PD"/>
    <hyperlink ref="AI97" r:id="rId270" display="https://www.senado.gob.ar/parlamentario/parlamentaria/ordenDelDiaResultadoLink/2025/528"/>
    <hyperlink ref="B98" r:id="rId271" display="https://www.senado.gob.ar/parlamentario/comisiones/verExp/303.25/S/PL"/>
    <hyperlink ref="C98" r:id="rId272" display="https://www.senado.gob.ar/parlamentario/comisiones/verExp/303.25/S/PL"/>
    <hyperlink ref="B99" r:id="rId273" display="https://www.senado.gob.ar/parlamentario/comisiones/verExp/302.25/OV/CV"/>
    <hyperlink ref="C99" r:id="rId274" display="https://www.senado.gob.ar/parlamentario/comisiones/verExp/302.25/OV/CV"/>
    <hyperlink ref="AI99" r:id="rId275" display="https://www.senado.gob.ar/parlamentario/parlamentaria/ordenDelDiaResultadoLink/2025/679"/>
    <hyperlink ref="B100" r:id="rId276" display="https://www.senado.gob.ar/parlamentario/comisiones/verExp/301.25/OV/CV"/>
    <hyperlink ref="C100" r:id="rId277" display="https://www.senado.gob.ar/parlamentario/comisiones/verExp/301.25/OV/CV"/>
    <hyperlink ref="AI100" r:id="rId278" display="https://www.senado.gob.ar/parlamentario/parlamentaria/ordenDelDiaResultadoLink/2025/679"/>
    <hyperlink ref="B101" r:id="rId279" display="https://www.senado.gob.ar/parlamentario/comisiones/verExp/300.25/OV/CV"/>
    <hyperlink ref="C101" r:id="rId280" display="https://www.senado.gob.ar/parlamentario/comisiones/verExp/300.25/OV/CV"/>
    <hyperlink ref="AI101" r:id="rId281" display="https://www.senado.gob.ar/parlamentario/parlamentaria/ordenDelDiaResultadoLink/2025/679"/>
    <hyperlink ref="B102" r:id="rId282" display="https://www.senado.gob.ar/parlamentario/comisiones/verExp/299.25/OV/CV"/>
    <hyperlink ref="C102" r:id="rId283" display="https://www.senado.gob.ar/parlamentario/comisiones/verExp/299.25/OV/CV"/>
    <hyperlink ref="AI102" r:id="rId284" display="https://www.senado.gob.ar/parlamentario/parlamentaria/ordenDelDiaResultadoLink/2025/679"/>
    <hyperlink ref="B103" r:id="rId285" display="https://www.senado.gob.ar/parlamentario/comisiones/verExp/299.25/S/PC"/>
    <hyperlink ref="C103" r:id="rId286" display="https://www.senado.gob.ar/parlamentario/comisiones/verExp/299.25/S/PC"/>
    <hyperlink ref="AI103" r:id="rId287" display="https://www.senado.gob.ar/parlamentario/parlamentaria/ordenDelDiaResultadoLink/2025/454"/>
    <hyperlink ref="B104" r:id="rId288" display="https://www.senado.gob.ar/parlamentario/comisiones/verExp/290.25/OV/CV"/>
    <hyperlink ref="C104" r:id="rId289" display="https://www.senado.gob.ar/parlamentario/comisiones/verExp/290.25/OV/CV"/>
    <hyperlink ref="AI104" r:id="rId290" display="https://www.senado.gob.ar/parlamentario/parlamentaria/ordenDelDiaResultadoLink/2025/679"/>
    <hyperlink ref="B105" r:id="rId291" display="https://www.senado.gob.ar/parlamentario/comisiones/verExp/288.25/OV/CV"/>
    <hyperlink ref="C105" r:id="rId292" display="https://www.senado.gob.ar/parlamentario/comisiones/verExp/288.25/OV/CV"/>
    <hyperlink ref="AI105" r:id="rId293" display="https://www.senado.gob.ar/parlamentario/parlamentaria/ordenDelDiaResultadoLink/2025/679"/>
    <hyperlink ref="B106" r:id="rId294" display="https://www.senado.gob.ar/parlamentario/comisiones/verExp/287.25/OV/CV"/>
    <hyperlink ref="C106" r:id="rId295" display="https://www.senado.gob.ar/parlamentario/comisiones/verExp/287.25/OV/CV"/>
    <hyperlink ref="AI106" r:id="rId296" display="https://www.senado.gob.ar/parlamentario/parlamentaria/ordenDelDiaResultadoLink/2025/679"/>
    <hyperlink ref="B107" r:id="rId297" display="https://www.senado.gob.ar/parlamentario/comisiones/verExp/281.25/S/PD"/>
    <hyperlink ref="C107" r:id="rId298" display="https://www.senado.gob.ar/parlamentario/comisiones/verExp/281.25/S/PD"/>
    <hyperlink ref="AI107" r:id="rId299" display="https://www.senado.gob.ar/parlamentario/parlamentaria/ordenDelDiaResultadoLink/2025/336"/>
    <hyperlink ref="B108" r:id="rId300" display="https://www.senado.gob.ar/parlamentario/comisiones/verExp/280.25/S/PD"/>
    <hyperlink ref="C108" r:id="rId301" display="https://www.senado.gob.ar/parlamentario/comisiones/verExp/280.25/S/PD"/>
    <hyperlink ref="AI108" r:id="rId302" display="https://www.senado.gob.ar/parlamentario/parlamentaria/ordenDelDiaResultadoLink/2025/322"/>
    <hyperlink ref="B109" r:id="rId303" display="https://www.senado.gob.ar/parlamentario/comisiones/verExp/274.25/S/PD"/>
    <hyperlink ref="C109" r:id="rId304" display="https://www.senado.gob.ar/parlamentario/comisiones/verExp/274.25/S/PD"/>
    <hyperlink ref="AI109" r:id="rId305" display="https://www.senado.gob.ar/parlamentario/parlamentaria/ordenDelDiaResultadoLink/2025/422"/>
    <hyperlink ref="B110" r:id="rId306" display="https://www.senado.gob.ar/parlamentario/comisiones/verExp/271.25/S/PD"/>
    <hyperlink ref="C110" r:id="rId307" display="https://www.senado.gob.ar/parlamentario/comisiones/verExp/271.25/S/PD"/>
    <hyperlink ref="AI110" r:id="rId308" display="https://www.senado.gob.ar/parlamentario/parlamentaria/ordenDelDiaResultadoLink/2025/519"/>
    <hyperlink ref="B111" r:id="rId309" display="https://www.senado.gob.ar/parlamentario/comisiones/verExp/265.25/S/PD"/>
    <hyperlink ref="C111" r:id="rId310" display="https://www.senado.gob.ar/parlamentario/comisiones/verExp/265.25/S/PD"/>
    <hyperlink ref="AI111" r:id="rId311" display="https://www.senado.gob.ar/parlamentario/parlamentaria/ordenDelDiaResultadoLink/2025/539"/>
    <hyperlink ref="B112" r:id="rId312" display="https://www.senado.gob.ar/parlamentario/comisiones/verExp/237.25/S/PD"/>
    <hyperlink ref="C112" r:id="rId313" display="https://www.senado.gob.ar/parlamentario/comisiones/verExp/237.25/S/PD"/>
    <hyperlink ref="AI112" r:id="rId314" display="https://www.senado.gob.ar/parlamentario/parlamentaria/ordenDelDiaResultadoLink/2025/518"/>
    <hyperlink ref="B113" r:id="rId315" display="https://www.senado.gob.ar/parlamentario/comisiones/verExp/232.25/S/PD"/>
    <hyperlink ref="C113" r:id="rId316" display="https://www.senado.gob.ar/parlamentario/comisiones/verExp/232.25/S/PD"/>
    <hyperlink ref="AI113" r:id="rId317" display="https://www.senado.gob.ar/parlamentario/parlamentaria/ordenDelDiaResultadoLink/2025/335"/>
    <hyperlink ref="B114" r:id="rId318" display="https://www.senado.gob.ar/parlamentario/comisiones/verExp/226.25/S/PD"/>
    <hyperlink ref="C114" r:id="rId319" display="https://www.senado.gob.ar/parlamentario/comisiones/verExp/226.25/S/PD"/>
    <hyperlink ref="AI114" r:id="rId320" display="https://www.senado.gob.ar/parlamentario/parlamentaria/ordenDelDiaResultadoLink/2025/359"/>
    <hyperlink ref="B115" r:id="rId321" display="https://www.senado.gob.ar/parlamentario/comisiones/verExp/225.25/S/PD"/>
    <hyperlink ref="C115" r:id="rId322" display="https://www.senado.gob.ar/parlamentario/comisiones/verExp/225.25/S/PD"/>
    <hyperlink ref="AI115" r:id="rId323" display="https://www.senado.gob.ar/parlamentario/parlamentaria/ordenDelDiaResultadoLink/2025/359"/>
    <hyperlink ref="B116" r:id="rId324" display="https://www.senado.gob.ar/parlamentario/comisiones/verExp/215.25/S/PD"/>
    <hyperlink ref="C116" r:id="rId325" display="https://www.senado.gob.ar/parlamentario/comisiones/verExp/215.25/S/PD"/>
    <hyperlink ref="AI116" r:id="rId326" display="https://www.senado.gob.ar/parlamentario/parlamentaria/ordenDelDiaResultadoLink/2025/321"/>
    <hyperlink ref="B117" r:id="rId327" display="https://www.senado.gob.ar/parlamentario/comisiones/verExp/198.25/S/PD"/>
    <hyperlink ref="C117" r:id="rId328" display="https://www.senado.gob.ar/parlamentario/comisiones/verExp/198.25/S/PD"/>
    <hyperlink ref="AI117" r:id="rId329" display="https://www.senado.gob.ar/parlamentario/parlamentaria/ordenDelDiaResultadoLink/2025/313"/>
    <hyperlink ref="B118" r:id="rId330" display="https://www.senado.gob.ar/parlamentario/comisiones/verExp/186.25/S/PD"/>
    <hyperlink ref="C118" r:id="rId331" display="https://www.senado.gob.ar/parlamentario/comisiones/verExp/186.25/S/PD"/>
    <hyperlink ref="AI118" r:id="rId332" display="https://www.senado.gob.ar/parlamentario/parlamentaria/ordenDelDiaResultadoLink/2025/334"/>
    <hyperlink ref="B119" r:id="rId333" display="https://www.senado.gob.ar/parlamentario/comisiones/verExp/176.25/PE/AC"/>
    <hyperlink ref="C119" r:id="rId334" display="https://www.senado.gob.ar/parlamentario/comisiones/verExp/176.25/PE/AC"/>
    <hyperlink ref="AI119" r:id="rId335" display="https://www.senado.gob.ar/parlamentario/parlamentaria/ordenDelDiaResultadoLink/2026/17"/>
    <hyperlink ref="B120" r:id="rId336" display="https://www.senado.gob.ar/parlamentario/comisiones/verExp/176.25/S/PD"/>
    <hyperlink ref="C120" r:id="rId337" display="https://www.senado.gob.ar/parlamentario/comisiones/verExp/176.25/S/PD"/>
    <hyperlink ref="AI120" r:id="rId338" display="https://www.senado.gob.ar/parlamentario/parlamentaria/ordenDelDiaResultadoLink/2025/359"/>
    <hyperlink ref="B121" r:id="rId339" display="https://www.senado.gob.ar/parlamentario/comisiones/verExp/175.25/PE/AC"/>
    <hyperlink ref="C121" r:id="rId340" display="https://www.senado.gob.ar/parlamentario/comisiones/verExp/175.25/PE/AC"/>
    <hyperlink ref="AI121" r:id="rId341" display="https://www.senado.gob.ar/parlamentario/parlamentaria/ordenDelDiaResultadoLink/2025/704"/>
    <hyperlink ref="B122" r:id="rId342" display="https://www.senado.gob.ar/parlamentario/comisiones/verExp/172.25/S/PL"/>
    <hyperlink ref="C122" r:id="rId343" display="https://www.senado.gob.ar/parlamentario/comisiones/verExp/172.25/S/PL"/>
    <hyperlink ref="AI122" r:id="rId344" display="https://www.senado.gob.ar/parlamentario/parlamentaria/ordenDelDiaResultadoLink/2025/5"/>
    <hyperlink ref="B123" r:id="rId345" display="https://www.senado.gob.ar/parlamentario/comisiones/verExp/170.25/S/PD"/>
    <hyperlink ref="C123" r:id="rId346" display="https://www.senado.gob.ar/parlamentario/comisiones/verExp/170.25/S/PD"/>
    <hyperlink ref="AI123" r:id="rId347" display="https://www.senado.gob.ar/parlamentario/parlamentaria/ordenDelDiaResultadoLink/2025/359"/>
    <hyperlink ref="B124" r:id="rId348" display="https://www.senado.gob.ar/parlamentario/comisiones/verExp/169.25/S/PD"/>
    <hyperlink ref="C124" r:id="rId349" display="https://www.senado.gob.ar/parlamentario/comisiones/verExp/169.25/S/PD"/>
    <hyperlink ref="AI124" r:id="rId350" display="https://www.senado.gob.ar/parlamentario/parlamentaria/ordenDelDiaResultadoLink/2025/541"/>
    <hyperlink ref="B125" r:id="rId351" display="https://www.senado.gob.ar/parlamentario/comisiones/verExp/165.25/S/PD"/>
    <hyperlink ref="C125" r:id="rId352" display="https://www.senado.gob.ar/parlamentario/comisiones/verExp/165.25/S/PD"/>
    <hyperlink ref="AI125" r:id="rId353" display="https://www.senado.gob.ar/parlamentario/parlamentaria/ordenDelDiaResultadoLink/2025/543"/>
    <hyperlink ref="B126" r:id="rId354" display="https://www.senado.gob.ar/parlamentario/comisiones/verExp/164.25/S/PD"/>
    <hyperlink ref="C126" r:id="rId355" display="https://www.senado.gob.ar/parlamentario/comisiones/verExp/164.25/S/PD"/>
    <hyperlink ref="AI126" r:id="rId356" display="https://www.senado.gob.ar/parlamentario/parlamentaria/ordenDelDiaResultadoLink/2025/333"/>
    <hyperlink ref="B127" r:id="rId357" display="https://www.senado.gob.ar/parlamentario/comisiones/verExp/163.25/S/PD"/>
    <hyperlink ref="C127" r:id="rId358" display="https://www.senado.gob.ar/parlamentario/comisiones/verExp/163.25/S/PD"/>
    <hyperlink ref="AI127" r:id="rId359" display="https://www.senado.gob.ar/parlamentario/parlamentaria/ordenDelDiaResultadoLink/2025/332"/>
    <hyperlink ref="B128" r:id="rId360" display="https://www.senado.gob.ar/parlamentario/comisiones/verExp/161.25/PE/PL"/>
    <hyperlink ref="C128" r:id="rId361" display="https://www.senado.gob.ar/parlamentario/comisiones/verExp/161.25/PE/PL"/>
    <hyperlink ref="AI128" r:id="rId362" display="https://www.senado.gob.ar/parlamentario/parlamentaria/ordenDelDiaResultadoLink/2025/700"/>
    <hyperlink ref="B129" r:id="rId363" display="https://www.senado.gob.ar/parlamentario/comisiones/verExp/160.25/S/PD"/>
    <hyperlink ref="C129" r:id="rId364" display="https://www.senado.gob.ar/parlamentario/comisiones/verExp/160.25/S/PD"/>
    <hyperlink ref="AI129" r:id="rId365" display="https://www.senado.gob.ar/parlamentario/parlamentaria/ordenDelDiaResultadoLink/2025/331"/>
    <hyperlink ref="B130" r:id="rId366" display="https://www.senado.gob.ar/parlamentario/comisiones/verExp/159.25/PE/PL"/>
    <hyperlink ref="C130" r:id="rId367" display="https://www.senado.gob.ar/parlamentario/comisiones/verExp/159.25/PE/PL"/>
    <hyperlink ref="AI130" r:id="rId368" display="https://www.senado.gob.ar/parlamentario/parlamentaria/ordenDelDiaResultadoLink/2025/706"/>
    <hyperlink ref="B131" r:id="rId369" display="https://www.senado.gob.ar/parlamentario/comisiones/verExp/152.25/PE/AC"/>
    <hyperlink ref="C131" r:id="rId370" display="https://www.senado.gob.ar/parlamentario/comisiones/verExp/152.25/PE/AC"/>
    <hyperlink ref="AI131" r:id="rId371" display="https://www.senado.gob.ar/parlamentario/parlamentaria/ordenDelDiaResultadoLink/2026/8"/>
    <hyperlink ref="B132" r:id="rId372" display="https://www.senado.gob.ar/parlamentario/comisiones/verExp/150.25/S/PD"/>
    <hyperlink ref="C132" r:id="rId373" display="https://www.senado.gob.ar/parlamentario/comisiones/verExp/150.25/S/PD"/>
    <hyperlink ref="AI132" r:id="rId374" display="https://www.senado.gob.ar/parlamentario/parlamentaria/ordenDelDiaResultadoLink/2025/216"/>
    <hyperlink ref="B133" r:id="rId375" display="https://www.senado.gob.ar/parlamentario/comisiones/verExp/143.25/S/PD"/>
    <hyperlink ref="C133" r:id="rId376" display="https://www.senado.gob.ar/parlamentario/comisiones/verExp/143.25/S/PD"/>
    <hyperlink ref="AI133" r:id="rId377" display="https://www.senado.gob.ar/parlamentario/parlamentaria/ordenDelDiaResultadoLink/2025/515"/>
    <hyperlink ref="B134" r:id="rId378" display="https://www.senado.gob.ar/parlamentario/comisiones/verExp/132.25/PE/AC"/>
    <hyperlink ref="C134" r:id="rId379" display="https://www.senado.gob.ar/parlamentario/comisiones/verExp/132.25/PE/AC"/>
    <hyperlink ref="AI134" r:id="rId380" display="https://www.senado.gob.ar/parlamentario/parlamentaria/ordenDelDiaResultadoLink/2026/7"/>
    <hyperlink ref="B135" r:id="rId381" display="https://www.senado.gob.ar/parlamentario/comisiones/verExp/114.25/PE/AC"/>
    <hyperlink ref="C135" r:id="rId382" display="https://www.senado.gob.ar/parlamentario/comisiones/verExp/114.25/PE/AC"/>
    <hyperlink ref="AI135" r:id="rId383" display="https://www.senado.gob.ar/parlamentario/parlamentaria/ordenDelDiaResultadoLink/2025/575"/>
    <hyperlink ref="B136" r:id="rId384" display="https://www.senado.gob.ar/parlamentario/comisiones/verExp/110.25/PE/AC"/>
    <hyperlink ref="C136" r:id="rId385" display="https://www.senado.gob.ar/parlamentario/comisiones/verExp/110.25/PE/AC"/>
    <hyperlink ref="AI136" r:id="rId386" display="https://www.senado.gob.ar/parlamentario/parlamentaria/ordenDelDiaResultadoLink/2026/27"/>
    <hyperlink ref="B137" r:id="rId387" display="https://www.senado.gob.ar/parlamentario/comisiones/verExp/109.25/PE/AC"/>
    <hyperlink ref="C137" r:id="rId388" display="https://www.senado.gob.ar/parlamentario/comisiones/verExp/109.25/PE/AC"/>
    <hyperlink ref="AI137" r:id="rId389" display="https://www.senado.gob.ar/parlamentario/parlamentaria/ordenDelDiaResultadoLink/2026/26"/>
    <hyperlink ref="B138" r:id="rId390" display="https://www.senado.gob.ar/parlamentario/comisiones/verExp/108.25/PE/AC"/>
    <hyperlink ref="C138" r:id="rId391" display="https://www.senado.gob.ar/parlamentario/comisiones/verExp/108.25/PE/AC"/>
    <hyperlink ref="AI138" r:id="rId392" display="https://www.senado.gob.ar/parlamentario/parlamentaria/ordenDelDiaResultadoLink/2026/25"/>
    <hyperlink ref="B139" r:id="rId393" display="https://www.senado.gob.ar/parlamentario/comisiones/verExp/107.25/PE/AC"/>
    <hyperlink ref="C139" r:id="rId394" display="https://www.senado.gob.ar/parlamentario/comisiones/verExp/107.25/PE/AC"/>
    <hyperlink ref="AI139" r:id="rId395" display="https://www.senado.gob.ar/parlamentario/parlamentaria/ordenDelDiaResultadoLink/2026/24"/>
    <hyperlink ref="B140" r:id="rId396" display="https://www.senado.gob.ar/parlamentario/comisiones/verExp/106.25/PE/AC"/>
    <hyperlink ref="C140" r:id="rId397" display="https://www.senado.gob.ar/parlamentario/comisiones/verExp/106.25/PE/AC"/>
    <hyperlink ref="AI140" r:id="rId398" display="https://www.senado.gob.ar/parlamentario/parlamentaria/ordenDelDiaResultadoLink/2026/23"/>
    <hyperlink ref="B141" r:id="rId399" display="https://www.senado.gob.ar/parlamentario/comisiones/verExp/105.25/PE/AC"/>
    <hyperlink ref="C141" r:id="rId400" display="https://www.senado.gob.ar/parlamentario/comisiones/verExp/105.25/PE/AC"/>
    <hyperlink ref="AI141" r:id="rId401" display="https://www.senado.gob.ar/parlamentario/parlamentaria/ordenDelDiaResultadoLink/2026/22"/>
    <hyperlink ref="B142" r:id="rId402" display="https://www.senado.gob.ar/parlamentario/comisiones/verExp/102.25/S/PD"/>
    <hyperlink ref="C142" r:id="rId403" display="https://www.senado.gob.ar/parlamentario/comisiones/verExp/102.25/S/PD"/>
    <hyperlink ref="AI142" r:id="rId404" display="https://www.senado.gob.ar/parlamentario/parlamentaria/ordenDelDiaResultadoLink/2025/284"/>
    <hyperlink ref="B143" r:id="rId405" display="https://www.senado.gob.ar/parlamentario/comisiones/verExp/100.25/S/PD"/>
    <hyperlink ref="C143" r:id="rId406" display="https://www.senado.gob.ar/parlamentario/comisiones/verExp/100.25/S/PD"/>
    <hyperlink ref="AI143" r:id="rId407" display="https://www.senado.gob.ar/parlamentario/parlamentaria/ordenDelDiaResultadoLink/2025/357"/>
    <hyperlink ref="B144" r:id="rId408" display="https://www.senado.gob.ar/parlamentario/comisiones/verExp/92.25/S/PD"/>
    <hyperlink ref="C144" r:id="rId409" display="https://www.senado.gob.ar/parlamentario/comisiones/verExp/92.25/S/PD"/>
    <hyperlink ref="AI144" r:id="rId410" display="https://www.senado.gob.ar/parlamentario/parlamentaria/ordenDelDiaResultadoLink/2025/228"/>
    <hyperlink ref="B145" r:id="rId411" display="https://www.senado.gob.ar/parlamentario/comisiones/verExp/85.25/S/PD"/>
    <hyperlink ref="C145" r:id="rId412" display="https://www.senado.gob.ar/parlamentario/comisiones/verExp/85.25/S/PD"/>
    <hyperlink ref="AI145" r:id="rId413" display="https://www.senado.gob.ar/parlamentario/parlamentaria/ordenDelDiaResultadoLink/2025/317"/>
    <hyperlink ref="B146" r:id="rId414" display="https://www.senado.gob.ar/parlamentario/comisiones/verExp/79.25/S/PD"/>
    <hyperlink ref="C146" r:id="rId415" display="https://www.senado.gob.ar/parlamentario/comisiones/verExp/79.25/S/PD"/>
    <hyperlink ref="AI146" r:id="rId416" display="https://www.senado.gob.ar/parlamentario/parlamentaria/ordenDelDiaResultadoLink/2025/208"/>
    <hyperlink ref="B147" r:id="rId417" display="https://www.senado.gob.ar/parlamentario/comisiones/verExp/78.25/S/PD"/>
    <hyperlink ref="C147" r:id="rId418" display="https://www.senado.gob.ar/parlamentario/comisiones/verExp/78.25/S/PD"/>
    <hyperlink ref="AI147" r:id="rId419" display="https://www.senado.gob.ar/parlamentario/parlamentaria/ordenDelDiaResultadoLink/2025/227"/>
    <hyperlink ref="B148" r:id="rId420" display="https://www.senado.gob.ar/parlamentario/comisiones/verExp/75.25/S/PL"/>
    <hyperlink ref="C148" r:id="rId421" display="https://www.senado.gob.ar/parlamentario/comisiones/verExp/75.25/S/PL"/>
    <hyperlink ref="AI148" r:id="rId422" display="https://www.senado.gob.ar/parlamentario/parlamentaria/ordenDelDiaResultadoLink/2025/205"/>
    <hyperlink ref="B149" r:id="rId423" display="https://www.senado.gob.ar/parlamentario/comisiones/verExp/72.25/S/PL"/>
    <hyperlink ref="C149" r:id="rId424" display="https://www.senado.gob.ar/parlamentario/comisiones/verExp/72.25/S/PL"/>
    <hyperlink ref="AI149" r:id="rId425" display="https://www.senado.gob.ar/parlamentario/parlamentaria/ordenDelDiaResultadoLink/2025/205"/>
    <hyperlink ref="B150" r:id="rId426" display="https://www.senado.gob.ar/parlamentario/comisiones/verExp/34.25/CD/PL"/>
    <hyperlink ref="C150" r:id="rId427" display="https://www.senado.gob.ar/parlamentario/comisiones/verExp/34.25/CD/PL"/>
    <hyperlink ref="AI150" r:id="rId428" display="https://www.senado.gob.ar/parlamentario/parlamentaria/ordenDelDiaResultadoLink/2025/703"/>
    <hyperlink ref="B151" r:id="rId429" display="https://www.senado.gob.ar/parlamentario/comisiones/verExp/34.25/PE/AC"/>
    <hyperlink ref="C151" r:id="rId430" display="https://www.senado.gob.ar/parlamentario/comisiones/verExp/34.25/PE/AC"/>
    <hyperlink ref="AI151" r:id="rId431" display="https://www.senado.gob.ar/parlamentario/parlamentaria/ordenDelDiaResultadoLink/2026/6"/>
    <hyperlink ref="B152" r:id="rId432" display="https://www.senado.gob.ar/parlamentario/comisiones/verExp/33.25/CD/PL"/>
    <hyperlink ref="C152" r:id="rId433" display="https://www.senado.gob.ar/parlamentario/comisiones/verExp/33.25/CD/PL"/>
    <hyperlink ref="AI152" r:id="rId434" display="https://www.senado.gob.ar/parlamentario/parlamentaria/ordenDelDiaResultadoLink/2025/705"/>
    <hyperlink ref="B153" r:id="rId435" display="https://www.senado.gob.ar/parlamentario/comisiones/verExp/31.25/CD/PL"/>
    <hyperlink ref="C153" r:id="rId436" display="https://www.senado.gob.ar/parlamentario/comisiones/verExp/31.25/CD/PL"/>
    <hyperlink ref="AI153" r:id="rId437" display="https://www.senado.gob.ar/parlamentario/parlamentaria/ordenDelDiaResultadoLink/2025/701"/>
    <hyperlink ref="B154" r:id="rId438" display="https://www.senado.gob.ar/parlamentario/comisiones/verExp/30.25/CD/PL"/>
    <hyperlink ref="C154" r:id="rId439" display="https://www.senado.gob.ar/parlamentario/comisiones/verExp/30.25/CD/PL"/>
    <hyperlink ref="AI154" r:id="rId440" display="https://www.senado.gob.ar/parlamentario/parlamentaria/ordenDelDiaResultadoLink/2025/702"/>
    <hyperlink ref="B155" r:id="rId441" display="https://www.senado.gob.ar/parlamentario/comisiones/verExp/17.25/P/PP"/>
    <hyperlink ref="C155" r:id="rId442" display="https://www.senado.gob.ar/parlamentario/comisiones/verExp/17.25/P/PP"/>
    <hyperlink ref="AI155" r:id="rId443" display="https://www.senado.gob.ar/parlamentario/parlamentaria/ordenDelDiaResultadoLink/2025/679"/>
    <hyperlink ref="B156" r:id="rId444" display="https://www.senado.gob.ar/parlamentario/comisiones/verExp/16.25/P/PP"/>
    <hyperlink ref="C156" r:id="rId445" display="https://www.senado.gob.ar/parlamentario/comisiones/verExp/16.25/P/PP"/>
    <hyperlink ref="AI156" r:id="rId446" display="https://www.senado.gob.ar/parlamentario/parlamentaria/ordenDelDiaResultadoLink/2025/679"/>
    <hyperlink ref="B157" r:id="rId447" display="https://www.senado.gob.ar/parlamentario/comisiones/verExp/15.25/P/PP"/>
    <hyperlink ref="C157" r:id="rId448" display="https://www.senado.gob.ar/parlamentario/comisiones/verExp/15.25/P/PP"/>
    <hyperlink ref="AI157" r:id="rId449" display="https://www.senado.gob.ar/parlamentario/parlamentaria/ordenDelDiaResultadoLink/2025/679"/>
    <hyperlink ref="B158" r:id="rId450" display="https://www.senado.gob.ar/parlamentario/comisiones/verExp/14.25/P/PP"/>
    <hyperlink ref="C158" r:id="rId451" display="https://www.senado.gob.ar/parlamentario/comisiones/verExp/14.25/P/PP"/>
    <hyperlink ref="AI158" r:id="rId452" display="https://www.senado.gob.ar/parlamentario/parlamentaria/ordenDelDiaResultadoLink/2025/679"/>
    <hyperlink ref="B159" r:id="rId453" display="https://www.senado.gob.ar/parlamentario/comisiones/verExp/8.25/CD/PL"/>
    <hyperlink ref="C159" r:id="rId454" display="https://www.senado.gob.ar/parlamentario/comisiones/verExp/8.25/CD/PL"/>
    <hyperlink ref="AI159" r:id="rId455" display="https://www.senado.gob.ar/parlamentario/parlamentaria/ordenDelDiaResultadoLink/2025/425"/>
    <hyperlink ref="B160" r:id="rId456" display="https://www.senado.gob.ar/parlamentario/comisiones/verExp/7.25/CD/PL"/>
    <hyperlink ref="C160" r:id="rId457" display="https://www.senado.gob.ar/parlamentario/comisiones/verExp/7.25/CD/PL"/>
    <hyperlink ref="AI160" r:id="rId458" display="https://www.senado.gob.ar/parlamentario/parlamentaria/ordenDelDiaResultadoLink/2025/424"/>
    <hyperlink ref="B161" r:id="rId459" display="https://www.senado.gob.ar/parlamentario/comisiones/verExp/7.25/PE/AC"/>
    <hyperlink ref="C161" r:id="rId460" display="https://www.senado.gob.ar/parlamentario/comisiones/verExp/7.25/PE/AC"/>
    <hyperlink ref="AI161" r:id="rId461" display="https://www.senado.gob.ar/parlamentario/parlamentaria/ordenDelDiaResultadoLink/2025/81"/>
    <hyperlink ref="B162" r:id="rId462" display="https://www.senado.gob.ar/parlamentario/comisiones/verExp/6.25/CD/PL"/>
    <hyperlink ref="C162" r:id="rId463" display="https://www.senado.gob.ar/parlamentario/comisiones/verExp/6.25/CD/PL"/>
    <hyperlink ref="B163" r:id="rId464" display="https://www.senado.gob.ar/parlamentario/comisiones/verExp/5.25/CD/PL"/>
    <hyperlink ref="C163" r:id="rId465" display="https://www.senado.gob.ar/parlamentario/comisiones/verExp/5.25/CD/PL"/>
    <hyperlink ref="B164" r:id="rId466" display="https://www.senado.gob.ar/parlamentario/comisiones/verExp/4.25/CD/PL"/>
    <hyperlink ref="C164" r:id="rId467" display="https://www.senado.gob.ar/parlamentario/comisiones/verExp/4.25/CD/PL"/>
  </hyperlink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Worksheet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Expedientes - ComisiÃ³n</dc:title>
  <dc:subject>Expedientes - ComisiÃ³n</dc:subject>
  <dc:creator>Sistema ExpeCom</dc:creator>
  <cp:keywords>Office Excel</cp:keywords>
  <dc:description>Expedientes - ComisiÃ³n</dc:description>
  <cp:lastModifiedBy>Bonifacio, Mariano</cp:lastModifiedBy>
  <dcterms:created xsi:type="dcterms:W3CDTF">2026-08-20T17:08:33Z</dcterms:created>
  <dcterms:modified xsi:type="dcterms:W3CDTF">2026-08-20T20:12:51Z</dcterms:modified>
  <cp:category>Test result file</cp:category>
</cp:coreProperties>
</file>