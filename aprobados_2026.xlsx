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ariano.bonifacio\Downloads\"/>
    </mc:Choice>
  </mc:AlternateContent>
  <bookViews>
    <workbookView xWindow="0" yWindow="0" windowWidth="9660" windowHeight="5490"/>
  </bookViews>
  <sheets>
    <sheet name="Worksheet" sheetId="1" r:id="rId1"/>
  </sheets>
  <calcPr calcId="162913"/>
</workbook>
</file>

<file path=xl/calcChain.xml><?xml version="1.0" encoding="utf-8"?>
<calcChain xmlns="http://schemas.openxmlformats.org/spreadsheetml/2006/main">
  <c r="B7" i="1" l="1"/>
  <c r="C7" i="1"/>
  <c r="AI7" i="1"/>
  <c r="B8" i="1"/>
  <c r="C8" i="1"/>
  <c r="AI8" i="1"/>
  <c r="B9" i="1"/>
  <c r="C9" i="1"/>
  <c r="AI9" i="1"/>
  <c r="B10" i="1"/>
  <c r="C10" i="1"/>
  <c r="AI10" i="1"/>
  <c r="B11" i="1"/>
  <c r="C11" i="1"/>
  <c r="AI11" i="1"/>
  <c r="B12" i="1"/>
  <c r="C12" i="1"/>
  <c r="AI12" i="1"/>
  <c r="B13" i="1"/>
  <c r="C13" i="1"/>
  <c r="AI13" i="1"/>
  <c r="B14" i="1"/>
  <c r="C14" i="1"/>
  <c r="AI14" i="1"/>
  <c r="B15" i="1"/>
  <c r="C15" i="1"/>
  <c r="AI15" i="1"/>
  <c r="B16" i="1"/>
  <c r="C16" i="1"/>
  <c r="AI16" i="1"/>
  <c r="B17" i="1"/>
  <c r="C17" i="1"/>
  <c r="AI17" i="1"/>
  <c r="B18" i="1"/>
  <c r="C18" i="1"/>
  <c r="AI18" i="1"/>
  <c r="B19" i="1"/>
  <c r="C19" i="1"/>
  <c r="AI19" i="1"/>
  <c r="B20" i="1"/>
  <c r="C20" i="1"/>
  <c r="AI20" i="1"/>
  <c r="B21" i="1"/>
  <c r="C21" i="1"/>
  <c r="AI21" i="1"/>
  <c r="B22" i="1"/>
  <c r="C22" i="1"/>
  <c r="AI22" i="1"/>
  <c r="B23" i="1"/>
  <c r="C23" i="1"/>
  <c r="AI23" i="1"/>
  <c r="B24" i="1"/>
  <c r="C24" i="1"/>
  <c r="AI24" i="1"/>
  <c r="B25" i="1"/>
  <c r="C25" i="1"/>
  <c r="AI25" i="1"/>
  <c r="B26" i="1"/>
  <c r="C26" i="1"/>
  <c r="AI26" i="1"/>
  <c r="B27" i="1"/>
  <c r="C27" i="1"/>
  <c r="AI27" i="1"/>
  <c r="B28" i="1"/>
  <c r="C28" i="1"/>
  <c r="AI28" i="1"/>
  <c r="B29" i="1"/>
  <c r="C29" i="1"/>
  <c r="AI29" i="1"/>
  <c r="B30" i="1"/>
  <c r="C30" i="1"/>
  <c r="AI30" i="1"/>
  <c r="B31" i="1"/>
  <c r="C31" i="1"/>
  <c r="AI31" i="1"/>
  <c r="B32" i="1"/>
  <c r="C32" i="1"/>
  <c r="AI32" i="1"/>
  <c r="B33" i="1"/>
  <c r="C33" i="1"/>
  <c r="AI33" i="1"/>
  <c r="B34" i="1"/>
  <c r="C34" i="1"/>
  <c r="AI34" i="1"/>
  <c r="B35" i="1"/>
  <c r="C35" i="1"/>
  <c r="AI35" i="1"/>
  <c r="B36" i="1"/>
  <c r="C36" i="1"/>
  <c r="AI36" i="1"/>
  <c r="B37" i="1"/>
  <c r="C37" i="1"/>
  <c r="AI37" i="1"/>
  <c r="B38" i="1"/>
  <c r="C38" i="1"/>
  <c r="AI38" i="1"/>
  <c r="B39" i="1"/>
  <c r="C39" i="1"/>
  <c r="AI39" i="1"/>
  <c r="B40" i="1"/>
  <c r="C40" i="1"/>
  <c r="AI40" i="1"/>
  <c r="B41" i="1"/>
  <c r="C41" i="1"/>
  <c r="AI41" i="1"/>
  <c r="B42" i="1"/>
  <c r="C42" i="1"/>
  <c r="AI42" i="1"/>
  <c r="B43" i="1"/>
  <c r="C43" i="1"/>
  <c r="AI43" i="1"/>
  <c r="B44" i="1"/>
  <c r="C44" i="1"/>
  <c r="AI44" i="1"/>
  <c r="B45" i="1"/>
  <c r="C45" i="1"/>
  <c r="AI45" i="1"/>
  <c r="B46" i="1"/>
  <c r="C46" i="1"/>
  <c r="AI46" i="1"/>
  <c r="B47" i="1"/>
  <c r="C47" i="1"/>
  <c r="AI47" i="1"/>
  <c r="B48" i="1"/>
  <c r="C48" i="1"/>
  <c r="AI48" i="1"/>
  <c r="B49" i="1"/>
  <c r="C49" i="1"/>
  <c r="AI49" i="1"/>
  <c r="B50" i="1"/>
  <c r="C50" i="1"/>
  <c r="AI50" i="1"/>
  <c r="B51" i="1"/>
  <c r="C51" i="1"/>
  <c r="AI51" i="1"/>
  <c r="B52" i="1"/>
  <c r="C52" i="1"/>
  <c r="AI52" i="1"/>
  <c r="B53" i="1"/>
  <c r="C53" i="1"/>
  <c r="AI53" i="1"/>
  <c r="B54" i="1"/>
  <c r="C54" i="1"/>
  <c r="AI54" i="1"/>
  <c r="B55" i="1"/>
  <c r="C55" i="1"/>
  <c r="AI55" i="1"/>
  <c r="B56" i="1"/>
  <c r="C56" i="1"/>
  <c r="AI56" i="1"/>
  <c r="B57" i="1"/>
  <c r="C57" i="1"/>
  <c r="AI57" i="1"/>
  <c r="B58" i="1"/>
  <c r="C58" i="1"/>
  <c r="AI58" i="1"/>
  <c r="B59" i="1"/>
  <c r="C59" i="1"/>
  <c r="AI59" i="1"/>
  <c r="B60" i="1"/>
  <c r="C60" i="1"/>
  <c r="AI60" i="1"/>
  <c r="B61" i="1"/>
  <c r="C61" i="1"/>
  <c r="AI61" i="1"/>
  <c r="B62" i="1"/>
  <c r="C62" i="1"/>
  <c r="AI62" i="1"/>
  <c r="B63" i="1"/>
  <c r="C63" i="1"/>
  <c r="AI63" i="1"/>
  <c r="B64" i="1"/>
  <c r="C64" i="1"/>
  <c r="AI64" i="1"/>
  <c r="B65" i="1"/>
  <c r="C65" i="1"/>
  <c r="AI65" i="1"/>
  <c r="B66" i="1"/>
  <c r="C66" i="1"/>
  <c r="AI66" i="1"/>
  <c r="B67" i="1"/>
  <c r="C67" i="1"/>
  <c r="AI67" i="1"/>
  <c r="B68" i="1"/>
  <c r="C68" i="1"/>
  <c r="AI68" i="1"/>
  <c r="B69" i="1"/>
  <c r="C69" i="1"/>
  <c r="AI69" i="1"/>
  <c r="B70" i="1"/>
  <c r="C70" i="1"/>
  <c r="AI70" i="1"/>
  <c r="B71" i="1"/>
  <c r="C71" i="1"/>
  <c r="AI71" i="1"/>
  <c r="B72" i="1"/>
  <c r="C72" i="1"/>
  <c r="AI72" i="1"/>
  <c r="B73" i="1"/>
  <c r="C73" i="1"/>
  <c r="AI73" i="1"/>
  <c r="B74" i="1"/>
  <c r="C74" i="1"/>
  <c r="AI74" i="1"/>
  <c r="B75" i="1"/>
  <c r="C75" i="1"/>
  <c r="AI75" i="1"/>
  <c r="B76" i="1"/>
  <c r="C76" i="1"/>
  <c r="AI76" i="1"/>
  <c r="B77" i="1"/>
  <c r="C77" i="1"/>
  <c r="AI77" i="1"/>
  <c r="B78" i="1"/>
  <c r="C78" i="1"/>
  <c r="AI78" i="1"/>
  <c r="B79" i="1"/>
  <c r="C79" i="1"/>
  <c r="AI79" i="1"/>
  <c r="B80" i="1"/>
  <c r="C80" i="1"/>
  <c r="AI80" i="1"/>
  <c r="B81" i="1"/>
  <c r="C81" i="1"/>
  <c r="AI81" i="1"/>
  <c r="B82" i="1"/>
  <c r="C82" i="1"/>
  <c r="AI82" i="1"/>
  <c r="B83" i="1"/>
  <c r="C83" i="1"/>
  <c r="AI83" i="1"/>
  <c r="B84" i="1"/>
  <c r="C84" i="1"/>
  <c r="AI84" i="1"/>
  <c r="B85" i="1"/>
  <c r="C85" i="1"/>
  <c r="AI85" i="1"/>
  <c r="B86" i="1"/>
  <c r="C86" i="1"/>
  <c r="AI86" i="1"/>
  <c r="B87" i="1"/>
  <c r="C87" i="1"/>
  <c r="AI87" i="1"/>
  <c r="B88" i="1"/>
  <c r="C88" i="1"/>
  <c r="AI88" i="1"/>
  <c r="B89" i="1"/>
  <c r="C89" i="1"/>
  <c r="AI89" i="1"/>
  <c r="B90" i="1"/>
  <c r="C90" i="1"/>
  <c r="AI90" i="1"/>
  <c r="B91" i="1"/>
  <c r="C91" i="1"/>
  <c r="AI91" i="1"/>
  <c r="B92" i="1"/>
  <c r="C92" i="1"/>
  <c r="AI92" i="1"/>
  <c r="B93" i="1"/>
  <c r="C93" i="1"/>
  <c r="AI93" i="1"/>
  <c r="B94" i="1"/>
  <c r="C94" i="1"/>
  <c r="AI94" i="1"/>
  <c r="B95" i="1"/>
  <c r="C95" i="1"/>
  <c r="AI95" i="1"/>
  <c r="B96" i="1"/>
  <c r="C96" i="1"/>
  <c r="AI96" i="1"/>
  <c r="B97" i="1"/>
  <c r="C97" i="1"/>
  <c r="AI97" i="1"/>
  <c r="B98" i="1"/>
  <c r="C98" i="1"/>
  <c r="AI98" i="1"/>
  <c r="B99" i="1"/>
  <c r="C99" i="1"/>
  <c r="AI99" i="1"/>
  <c r="B100" i="1"/>
  <c r="C100" i="1"/>
  <c r="AI100" i="1"/>
  <c r="B101" i="1"/>
  <c r="C101" i="1"/>
  <c r="AI101" i="1"/>
  <c r="B102" i="1"/>
  <c r="C102" i="1"/>
  <c r="AI102" i="1"/>
  <c r="B103" i="1"/>
  <c r="C103" i="1"/>
  <c r="AI103" i="1"/>
  <c r="B104" i="1"/>
  <c r="C104" i="1"/>
  <c r="AI104" i="1"/>
  <c r="B105" i="1"/>
  <c r="C105" i="1"/>
  <c r="AI105" i="1"/>
  <c r="B106" i="1"/>
  <c r="C106" i="1"/>
  <c r="AI106" i="1"/>
  <c r="B107" i="1"/>
  <c r="C107" i="1"/>
  <c r="AI107" i="1"/>
  <c r="B108" i="1"/>
  <c r="C108" i="1"/>
  <c r="AI108" i="1"/>
  <c r="B109" i="1"/>
  <c r="C109" i="1"/>
  <c r="AI109" i="1"/>
  <c r="B110" i="1"/>
  <c r="C110" i="1"/>
  <c r="AI110" i="1"/>
  <c r="B111" i="1"/>
  <c r="C111" i="1"/>
  <c r="AI111" i="1"/>
  <c r="B112" i="1"/>
  <c r="C112" i="1"/>
  <c r="AI112" i="1"/>
  <c r="B113" i="1"/>
  <c r="C113" i="1"/>
  <c r="AI113" i="1"/>
  <c r="B114" i="1"/>
  <c r="C114" i="1"/>
  <c r="AI114" i="1"/>
  <c r="B115" i="1"/>
  <c r="C115" i="1"/>
  <c r="AI115" i="1"/>
  <c r="B116" i="1"/>
  <c r="C116" i="1"/>
  <c r="AI116" i="1"/>
  <c r="B117" i="1"/>
  <c r="C117" i="1"/>
  <c r="AI117" i="1"/>
  <c r="B118" i="1"/>
  <c r="C118" i="1"/>
  <c r="AI118" i="1"/>
  <c r="B119" i="1"/>
  <c r="C119" i="1"/>
  <c r="AI119" i="1"/>
  <c r="B120" i="1"/>
  <c r="C120" i="1"/>
  <c r="AI120" i="1"/>
  <c r="B121" i="1"/>
  <c r="C121" i="1"/>
  <c r="AI121" i="1"/>
  <c r="B122" i="1"/>
  <c r="C122" i="1"/>
  <c r="AI122" i="1"/>
  <c r="B123" i="1"/>
  <c r="C123" i="1"/>
  <c r="AI123" i="1"/>
  <c r="B124" i="1"/>
  <c r="C124" i="1"/>
  <c r="AI124" i="1"/>
  <c r="B125" i="1"/>
  <c r="C125" i="1"/>
  <c r="AI125" i="1"/>
  <c r="B126" i="1"/>
  <c r="C126" i="1"/>
  <c r="AI126" i="1"/>
  <c r="B127" i="1"/>
  <c r="C127" i="1"/>
  <c r="AI127" i="1"/>
  <c r="B128" i="1"/>
  <c r="C128" i="1"/>
  <c r="AI128" i="1"/>
  <c r="B129" i="1"/>
  <c r="C129" i="1"/>
  <c r="AI129" i="1"/>
</calcChain>
</file>

<file path=xl/sharedStrings.xml><?xml version="1.0" encoding="utf-8"?>
<sst xmlns="http://schemas.openxmlformats.org/spreadsheetml/2006/main" count="1774" uniqueCount="307">
  <si>
    <t>Honorable Senado De La Nacion</t>
  </si>
  <si>
    <t>Expedientes - Comisión</t>
  </si>
  <si>
    <t>Fecha:20/08/2026</t>
  </si>
  <si>
    <t>ORIGEN</t>
  </si>
  <si>
    <t>NRO.</t>
  </si>
  <si>
    <t>AÑO</t>
  </si>
  <si>
    <t>TIPO</t>
  </si>
  <si>
    <t>CARÁTULA</t>
  </si>
  <si>
    <t>NRO. DAE / DADO CUENTA</t>
  </si>
  <si>
    <t>CADUCA</t>
  </si>
  <si>
    <t>ARCHIVO</t>
  </si>
  <si>
    <t>MESA DE ENTRADAS</t>
  </si>
  <si>
    <t>PRONTO DESPACHO</t>
  </si>
  <si>
    <t>FECHA INGRESO DICTAMEN</t>
  </si>
  <si>
    <t>DIR. COMISIONES</t>
  </si>
  <si>
    <t>MOCIÓN DE PREFERENCIA</t>
  </si>
  <si>
    <t>AUTOR</t>
  </si>
  <si>
    <t>GIRO1</t>
  </si>
  <si>
    <t>COMISION1</t>
  </si>
  <si>
    <t>FECHA_INGRESO1</t>
  </si>
  <si>
    <t>FECHA_EGRESO1</t>
  </si>
  <si>
    <t>GIRO2</t>
  </si>
  <si>
    <t>COMISION2</t>
  </si>
  <si>
    <t>FECHA_INGRESO2</t>
  </si>
  <si>
    <t>FECHA_EGRESO2</t>
  </si>
  <si>
    <t>GIRO3</t>
  </si>
  <si>
    <t>COMISION3</t>
  </si>
  <si>
    <t>FECHA_INGRESO3</t>
  </si>
  <si>
    <t>FECHA_EGRESO3</t>
  </si>
  <si>
    <t>GIRO4</t>
  </si>
  <si>
    <t>COMISION4</t>
  </si>
  <si>
    <t>FECHA_INGRESO4</t>
  </si>
  <si>
    <t>FECHA_EGRESO4</t>
  </si>
  <si>
    <t>GIRO5</t>
  </si>
  <si>
    <t>COMISION5</t>
  </si>
  <si>
    <t>FECHA_INGRESO5</t>
  </si>
  <si>
    <t>FECHA_EGRESO5</t>
  </si>
  <si>
    <t>ORDEN DEL DÍA</t>
  </si>
  <si>
    <t>SANCIONES/SITUACIÓN EXP</t>
  </si>
  <si>
    <t>LEY – FECHA</t>
  </si>
  <si>
    <t>COMUNICACIÓN</t>
  </si>
  <si>
    <t>FECHA_ARCHIVO</t>
  </si>
  <si>
    <t>S</t>
  </si>
  <si>
    <t>PL</t>
  </si>
  <si>
    <t xml:space="preserve">AVILA: PROYECTO DE LEY QUE DECLARA A LA CDAD. DE SAN MIGUEL DE TUCUMAN COMO "CAPITAL DE LA REP. ARGENTINA", LOS 9 DE JULIO DE CADA AÑO.
</t>
  </si>
  <si>
    <t xml:space="preserve"> 27 14/05/2026 -</t>
  </si>
  <si>
    <t xml:space="preserve"> 23/04/2026 -</t>
  </si>
  <si>
    <t xml:space="preserve"> 25/06/2026 -</t>
  </si>
  <si>
    <t xml:space="preserve"> 30/04/2026 -</t>
  </si>
  <si>
    <t xml:space="preserve"> AVILA, BEATRIZ LUISA -</t>
  </si>
  <si>
    <t>DE EDUCACIÓN Y CULTURA</t>
  </si>
  <si>
    <t>30/04/2026</t>
  </si>
  <si>
    <t>25/06/2026</t>
  </si>
  <si>
    <t xml:space="preserve">AP  16/07/2026            </t>
  </si>
  <si>
    <t xml:space="preserve"> - </t>
  </si>
  <si>
    <t xml:space="preserve">AVILA: PROYECTO DE LEY SOBRE ORGANIZACION EN SALAS Y FORTALECIMIENTO FUNCIONAL DE LA CAMARA FEDERAL DE APELACIONES DE TUCUMÁN. </t>
  </si>
  <si>
    <t xml:space="preserve"> 20/05/2026 -</t>
  </si>
  <si>
    <t>DE JUSTICIA Y ASUNTOS PENALES</t>
  </si>
  <si>
    <t>20/05/2026</t>
  </si>
  <si>
    <t>DE PRESUPUESTO Y HACIENDA</t>
  </si>
  <si>
    <t xml:space="preserve">AP  04/06/2026            </t>
  </si>
  <si>
    <t>MENDOZA Y OTROS: REPRODUCE PROYECTO DE LEY QUE DECLARA A LA CDAD. DE SAN MIGUEL DE TUCUMAN, PROV. DE TUCUMAN, CAPITAL SIMBOLICA DE LA REPUBLICA ARGENTINA, EL 9 DE JULIO DE CADA AÑO (REF. S. 2298/24)</t>
  </si>
  <si>
    <t xml:space="preserve"> 16 14/05/2026 -</t>
  </si>
  <si>
    <t xml:space="preserve"> 27/03/2026 -</t>
  </si>
  <si>
    <t xml:space="preserve"> 16/04/2026 -</t>
  </si>
  <si>
    <t xml:space="preserve"> MENDOZA, SANDRA MARIELA - ANDRADA, GUILLERMO EDUARDO - MOISES, MARÍA CAROLINA -</t>
  </si>
  <si>
    <t>16/04/2026</t>
  </si>
  <si>
    <t>PE</t>
  </si>
  <si>
    <t>AC</t>
  </si>
  <si>
    <t>MENSAJE N° 184/26 QUE SOLICITA ACUERDO PARA DESIGNAR JUEZ DE CAMARA DEL TRIBUNAL ORAL EN LO CRIMINAL Y CORRECCIONAL N° 9 DE LA CAPITAL FEDERAL, AL DR. MARIANO ADOLFO KLUMPP</t>
  </si>
  <si>
    <t xml:space="preserve"> 20 04/06/2026 -</t>
  </si>
  <si>
    <t>04/08/2026</t>
  </si>
  <si>
    <t xml:space="preserve"> 27/05/2026 -</t>
  </si>
  <si>
    <t xml:space="preserve"> 01/07/2026 -</t>
  </si>
  <si>
    <t xml:space="preserve"> 28/05/2026 -</t>
  </si>
  <si>
    <t>DE ACUERDOS</t>
  </si>
  <si>
    <t>28/05/2026</t>
  </si>
  <si>
    <t>01/07/2026</t>
  </si>
  <si>
    <t>MENSAJE N° 182/26 QUE SOLICITA ACUERDO PARA DESIGNAR JUEZA DEL JUZGADO FEDERAL DE PRIMERA INSTANCIA DE LA SEGURIDAD SOCIAL N° 5 DE LA CAPITAL FEDERAL, A LA DRA. MARIA GABRIELA JANEIRO.</t>
  </si>
  <si>
    <t>MENSAJE N° 177/26 QUE SOLICITA ACUERDO PARA DESIGNAR JUEZ DE CAMARA DEL TRIBUNAL ORAL EN LO CRIMINAL Y CORRECCIONAL N° 14 DE LA CAPITAL FEDERAL, AL DR. JOSE IGNACIO POLIZZA.</t>
  </si>
  <si>
    <t xml:space="preserve"> 19 04/06/2026 -</t>
  </si>
  <si>
    <t xml:space="preserve"> 19/05/2026 -</t>
  </si>
  <si>
    <t>19/05/2026</t>
  </si>
  <si>
    <t>MENSAJE N° 174/26 QUE SOLICITA ACUERDO PARA DESIGNAR VOCAL DE LA CAMARA NACIONAL DE APELACIONES EN LO COMERCIAL DE LA CAPITAL FEDERAL, SALA C, AL DR. JAVIER JORGE COSENTINO.</t>
  </si>
  <si>
    <t xml:space="preserve"> 18 04/06/2026 -</t>
  </si>
  <si>
    <t xml:space="preserve"> 15/05/2026 -</t>
  </si>
  <si>
    <t>15/05/2026</t>
  </si>
  <si>
    <t>CE</t>
  </si>
  <si>
    <t xml:space="preserve">JEFATURA DE GABINETE: COMUNICA ENMIENDA AL ACUERDO DE CONCILIACION CELEBRADO CON BAINBRIDGE LTD. Y EL GRUPO DE ACREEDORES ENCABEZADO POR ATTESTOR VALUE MASTER FUND LP (REF. P.E. 98/26).
</t>
  </si>
  <si>
    <t xml:space="preserve">  14/05/2026 -</t>
  </si>
  <si>
    <t xml:space="preserve"> 14/05/2026 -</t>
  </si>
  <si>
    <t xml:space="preserve"> 03/06/2026 - 19/05/2026 -</t>
  </si>
  <si>
    <t xml:space="preserve">  - 15/05/2026 -</t>
  </si>
  <si>
    <t>DE ECONOMÍA NACIONAL E INVERSIÓN</t>
  </si>
  <si>
    <t xml:space="preserve">AP  04/06/2026  AP  24/06/2026        </t>
  </si>
  <si>
    <t>27818 - 24/06/2026</t>
  </si>
  <si>
    <t>MENSAJE N° 170/26 QUE SOLICITA ACUERDO PARA DESIGNAR FISCAL FEDERAL DE LA UNIDAD FISCAL MENDOZA, PROVINCIA DE MENDOZA, AL DR. FERNANDO GABRIEL ALCARAZ.</t>
  </si>
  <si>
    <t xml:space="preserve"> 13/05/2026 -</t>
  </si>
  <si>
    <t>13/05/2026</t>
  </si>
  <si>
    <t>MENSAJE N° 165/26 QUE SOLICITA ACUERDO PARA DESIGNAR JUEZ DEL JUZGADO NACIONAL DE PRIMERA INSTANCIA EN LO COMERCIAL N° 28 DE LA CAPITAL FEDERAL, AL DR. PEDRO MANUEL CRESPO.</t>
  </si>
  <si>
    <t>MENSAJE N° 163/26 QUE SOLICITA ACUERDO PARA DESIGNAR FISCAL FEDERAL DE LA UNIDAD FISCAL DE RESISTENCIA, PROVINCIA DEL CHACO, AL DR. PATRICIO NICOLAS SABADINI.</t>
  </si>
  <si>
    <t xml:space="preserve">MENSAJE N° 162/26 QUE SOLICITA ACUERDO PARA DESIGNAR VOCAL DE LA CAMARA FEDERAL DE APELACIONES DE MAR DEL PLATA, PROV. DE BUENOS AIRES, AL DR. SANTIAGO JOSE MARTIN.
</t>
  </si>
  <si>
    <t>MENSAJE N° 161/26 QUE SOLICITA ACUERDO PARA DESIGNAR VOCAL DE LA CAMARA FEDERAL DE APELACIONES DE SALTA, PROV. DE SALTA, SALA I, AL DR. SANTIAGO FRENCH.</t>
  </si>
  <si>
    <t>MENSAJE N° 160/26 QUE SOLICITA ACUERDO PARA DESIGNAR DEFENSORA PUBLICA OFICIAL ANTE LOS TRIBUNALES ORALES EN LO CRIMINAL Y CORRECCIONAL DE LA CAPITAL FEDERAL, DEFENSORIA N° 7, A LA DRA. AMANDA ESPINO.</t>
  </si>
  <si>
    <t>MENSAJE N° 156/26 QUE SOLICITA ACUERDO PARA DESIGNAR FISCAL FEDERAL DE LA SEDE FISCAL DESCENTRALIZADA DE PASO DE LOS LIBRES, PROVINCIA DE CORRIENTES, AL DR. HUGO DANIEL FROY.</t>
  </si>
  <si>
    <t xml:space="preserve"> 15 14/05/2026 -</t>
  </si>
  <si>
    <t xml:space="preserve"> 12/05/2026 -</t>
  </si>
  <si>
    <t>12/05/2026</t>
  </si>
  <si>
    <t>MENSAJE N° 155/26 QUE SOLICITA ACUERDO PARA DESIGNAR JUEZ DEL JUZGADO FEDERAL DE PRIMERA INSTANCIA EN LO CRIMINAL Y CORRECCIONAL N° 2 DE LOMAS DE ZAMORA, PROVINCIA DE BUENOS AIRES, AL DR. JUAN TOMAS RODRIGUEZ PONTE.</t>
  </si>
  <si>
    <t xml:space="preserve">MENSAJE N° 153/26 QUE SOLICITA ACUERDO PARA DESIGNAR JUEZA DE CAMARA DEL TRIBUNAL ORAL EN LO CRIMINAL Y CORRECCIONAL N° 18 DE LA CAPITAL FEDERAL, A LA DRA. PAULA VANESA ROMEO.
</t>
  </si>
  <si>
    <t>MENSAJE N° 151/26 QUE SOLICITA ACUERDO PARA DESIGNAR JUEZ DE CAMARA DEL TRIBUNAL ORAL EN LO CRIMINAL Y CORRECCIONAL N° 9 DE LA CAPITAL FEDERAL, AL DR. JUAN CARLOS RICCARDINI.</t>
  </si>
  <si>
    <t>MENSAJE N° 150/26 QUE SOLICITA ACUERDO PARA DESIGNAR JUEZ DE CAMARA DEL TRIBUNAL ORAL EN LO CRIMINAL FEDERAL DE TUCUMAN, PROV. DE TUCUMAN, AL DR. ANGEL ROGER LUNA ROLDAN.</t>
  </si>
  <si>
    <t xml:space="preserve"> 14 14/05/2026 -</t>
  </si>
  <si>
    <t xml:space="preserve"> 11/05/2026 -</t>
  </si>
  <si>
    <t>11/05/2026</t>
  </si>
  <si>
    <t>MENSAJE N° 149/26 QUE SOLICITA ACUERDO PARA DESIGNAR VOCAL DE LA CAMARA FEDERAL DE APELACIONES DE RESISTENCIA, PROV. DEL CHACO, A LA DRA. MARIA VIRGINIA ISE.</t>
  </si>
  <si>
    <t>MENSAJE N° 148/26 QUE SOLICITA ACUERDO PARA DESIGNAR FISCAL FEDERAL DE LA UNIDAD FISCAL DE CORRIENTES, PROV. DE CORRIENTES, AL DR. JUAN MARCELO BURELLA ACEVEDO.</t>
  </si>
  <si>
    <t xml:space="preserve">MENSAJE N° 147/26 QUE SOLICITA ACUERDO PARA DESIGNAR JUEZA DE CAMARA DEL TRIBUNAL ORAL EN LO CRIMINAL FEDERAL DE POSADAS, PROV. DE MISIONES, A LA DRA. RUTH MARIA PONCE DE LEON.
</t>
  </si>
  <si>
    <t>MENSAJE N° 146/26 QUE SOLICITA ACUERDO PARA DESIGNAR JUEZ DE CAMARA DEL TRIBUNAL ORAL EN LO CRIMINAL FEDERAL DE TUCUMAN, PROV. DE TUCUMAN, AL DR. PABLO ROBERTO TOLEDO.</t>
  </si>
  <si>
    <t>MENSAJE N° 145/26 QUE SOLICITA ACUERDO PARA DESIGNAR VOCAL DE LA CAMARA NACIONAL DE APELACIONES DEL TRABAJO DE LA CAPITAL FEDERAL, SALA III, AL DR. CLAUDIO FABIAN LOGUARRO.</t>
  </si>
  <si>
    <t xml:space="preserve"> 09/06/2026 -</t>
  </si>
  <si>
    <t>09/06/2026</t>
  </si>
  <si>
    <t xml:space="preserve">MENSAJE N° 144/26 QUE SOLICITA ACUERDO PARA DESIGNAR VOCAL DE LA CAMARA NACIONAL DE APELACIONES DEL TRABAJO DE LA CAPITAL FEDERAL, SALA V, AL DR. DIEGO FERNANDO MANAUTA.
</t>
  </si>
  <si>
    <t>MENSAJE N° 143/26 QUE SOLICITA ACUERDO PARA DESIGNAR VOCAL DE LA CAMARA NACIONAL DE APELACIONES DEL TRABAJO DE LA CAPITAL FEDERAL, SALA II, AL DR. DIEGO JAVIER TULA.</t>
  </si>
  <si>
    <t>MENSAJE N° 142/26 QUE SOLICITA ACUERDO PARA DESIGNAR VOCAL DE LA CAMARA NACIONAL DE APELACIONES DEL TRABAJO DE LA CAPITAL FEDERAL, SALA VI, A LA DRA. MARINA EDITH PISACCO.</t>
  </si>
  <si>
    <t>MENSAJE N° 141/26 QUE SOLICITA ACUERDO PARA DESIGNAR VOCAL DE LA CAMARA NACIONAL DE APELACIONES DEL TRABAJO DE LA CAPITAL FEDERAL, SALA X, A LA DRA. MARIA CLAUDIA JUEGUEN.</t>
  </si>
  <si>
    <t>MENSAJE N° 140/26 QUE SOLICITA ACUERDO PARA POSIBILITAR UN NUEVO NOMBRAMIENTO DEL VOCAL DE LA CAMARA NACIONAL DE APELACIONES DEL TRABAJO DE LA CAPITAL FEDERAL, SALA VIII, AL DR. VICTOR ARTURO PESINO</t>
  </si>
  <si>
    <t>MENSAJE N° 139/26 QUE SOLICITA ACUERDO A FIN DE POSIBILITAR UN NUEVO NOMBRAMIENTO PARA DESIGNAR JUEZ DEL JUZGADO FEDERAL DE PRIMERA INSTANCIA N°2 DE SAN JUAN, PROVINCIA DE SAN JUAN, AL DR. LEOPOLDO JORGE RAGO GALLO.</t>
  </si>
  <si>
    <t xml:space="preserve"> 13 14/05/2026 -</t>
  </si>
  <si>
    <t>MENDOZA Y ANDRADA: REPRODUCE PROYECTO DE LEY QUE CREA EN LA CAMARA FEDERAL DE APELACIONES DE TUCUMAN DOS (2) SALAS DE DOS (2) MIEMBROS CADA UNA QUE CONTARAN CON LA PRESIDENCIA COMUN DE UN (1) JUEZ DE CAMARA. (REF. S. 586/24)</t>
  </si>
  <si>
    <t xml:space="preserve"> 7 18/03/2026 -</t>
  </si>
  <si>
    <t xml:space="preserve"> 11/03/2026 -</t>
  </si>
  <si>
    <t xml:space="preserve"> 16/03/2026 -</t>
  </si>
  <si>
    <t xml:space="preserve"> MENDOZA, SANDRA MARIELA - ANDRADA, GUILLERMO EDUARDO -</t>
  </si>
  <si>
    <t>16/03/2026</t>
  </si>
  <si>
    <t>MENSAJE N° 136/26 QUE SOLICITA ACUERDO PARA DESIGNAR CONJUECES DE LOS JUZGADOS FEDERALES DE PRIMERA INSTANCIA DE LA JURISDICCIÓN DE LA CÁMARA FEDERAL DE APELACIONES DE CÓRDOBA.</t>
  </si>
  <si>
    <t xml:space="preserve"> 11 14/05/2026 -</t>
  </si>
  <si>
    <t xml:space="preserve"> 24/04/2026 -</t>
  </si>
  <si>
    <t>24/04/2026</t>
  </si>
  <si>
    <t>MENSAJE N° 129/26 QUE SOLICITA ACUERDO PARA DESIGNAR JUEZ DE CAMARA DEL TRIBUNAL ORAL EN LO CRIMINAL FEDERAL N° 2 DE SAN MARTIN, PROV. DE BUENOS AIRES, AL DR. BERNARDO MARIA RODRIGUEZ PALMA.</t>
  </si>
  <si>
    <t>PR</t>
  </si>
  <si>
    <t xml:space="preserve">VARIOS SENADORES: PROYECTO DE RESOLUCION QUE MODIFICA LOS ARTS. 22 BIS Y 123 BIS DEL REGLAMENTO DE LA CAMARA DE SENADORES DE LA NACION, RESPECTO DE LOS REQUISITOS PROCEDIMENTALES SOBRE LA SOLICITUD DE ACUERDOS PARA JUECES Y CONJUECES DE LA CORTE SUPREMA DE JUSTICIA, MAGISTRADOS DEL PODER JUDICIAL DE LA NACION Y MINISTERIO PUBLICO. </t>
  </si>
  <si>
    <t xml:space="preserve"> 6 18/03/2026 -</t>
  </si>
  <si>
    <t>30/03/2026</t>
  </si>
  <si>
    <t xml:space="preserve"> 10/03/2026 -</t>
  </si>
  <si>
    <t xml:space="preserve">  -</t>
  </si>
  <si>
    <t xml:space="preserve"> JURI, MARIANA - BULLRICH, PATRICIA - MAYANS, JOSÉ MIGUEL ÁNGEL - VISCHI, EDUARDO ALEJANDRO - COTO, AGUSTÍN PEDRO - SALINO, FERNANDO ALDO - HUALA, MARÍA VICTORIA - GADANO, NATALIA ELENA - AVILA, BEATRIZ LUISA - MENDOZA, SANDRA MARIELA - CORROZA, JULIETA - ABDALA, BARTOLOMÉ ESTEBAN - ESPÍNOLA, CARLOS MAURICIO -</t>
  </si>
  <si>
    <t>DE ASUNTOS CONSTITUCIONALES</t>
  </si>
  <si>
    <t>11/03/2026</t>
  </si>
  <si>
    <t>18/03/2026</t>
  </si>
  <si>
    <t xml:space="preserve">AP  18/03/2026            </t>
  </si>
  <si>
    <t>MENSAJE N° 113/26 QUE SOLICITA ACUERDO PARA DESIGNAR DEFENSORA PUBLICA DE VICTIMA CON ASIENTO EN LA PROV. DE RIO NEGRO, A LA DRA. MARIA LAURA IRASTORZA.</t>
  </si>
  <si>
    <t xml:space="preserve">MENSAJE N° 107/26 Y PROYECTO DE LEY QUE APRUEBA EL ACUERDO DE CONCILIACION CON BAINBRIDGE LTD. Y EL GRUPO DE ACREEDORES ENCABEZADO POR ATTESTOR VALUE MASTER FUND LP. 
</t>
  </si>
  <si>
    <t xml:space="preserve"> 26 14/05/2026 -</t>
  </si>
  <si>
    <t xml:space="preserve"> 20/04/2026 -</t>
  </si>
  <si>
    <t xml:space="preserve"> 04/05/2026 - 03/06/2026 - 29/04/2026 - 19/05/2026 -</t>
  </si>
  <si>
    <t xml:space="preserve"> 15/05/2026 -  - 21/04/2026 -  -</t>
  </si>
  <si>
    <t>21/04/2026</t>
  </si>
  <si>
    <t>29/04/2026</t>
  </si>
  <si>
    <t xml:space="preserve">ABAD: REPRODUCE PROYECTO DE LEY QUE CREA UNA NUEVA SALA EN LA CAMARA FEDERAL DE APELACIONES DE MAR DEL PLATA. (REF. S. 1064/24)
</t>
  </si>
  <si>
    <t xml:space="preserve"> 5 18/03/2026 -</t>
  </si>
  <si>
    <t xml:space="preserve"> 09/03/2026 -</t>
  </si>
  <si>
    <t xml:space="preserve"> ABAD, MAXIMILIANO - JURI, MARIANA -</t>
  </si>
  <si>
    <t>MENSAJE N° 105/26 Y PROYECTO DE LEY QUE APRUEBA EL CONVENIO SOBRE SEGURIDAD SOCIAL CON LA REPÚBLICA DE SAN MARINO Y EL ACUERDO ADMINISTRATIVO PARA LA APLICACIÓN DEL CONVENIO SOBRE SEGURIDAD SOCIAL CON LA REPÚBLICA DE SAN MARINO, CELEBRADO EN CABA, EL 25 DE AGOSTO DE 2023.</t>
  </si>
  <si>
    <t xml:space="preserve"> 24 14/05/2026 -</t>
  </si>
  <si>
    <t>17/07/2026</t>
  </si>
  <si>
    <t xml:space="preserve"> 13/04/2026 -</t>
  </si>
  <si>
    <t xml:space="preserve"> 21/04/2026 -</t>
  </si>
  <si>
    <t xml:space="preserve"> 14/04/2026 -</t>
  </si>
  <si>
    <t>DE RELACIONES EXTERIORES Y CULTO</t>
  </si>
  <si>
    <t>14/04/2026</t>
  </si>
  <si>
    <t xml:space="preserve">AP  14/05/2026  AP  24/06/2026        </t>
  </si>
  <si>
    <t>27817 - 24/06/2026</t>
  </si>
  <si>
    <t xml:space="preserve">MENSAJE N° 104/26 Y PROYECTO DE LEY QUE APRUEBA EL CONVENIO DE SEGURIDAD SOCIAL CON LA CONFEDERACION SUIZA Y EL ACUERDO ADMINISTRATIVO PARA LA APLICACIÓN DEL CONVENIO DE SEGURIDAD SOCIAL CON LA CONFEDERACION SUIZA, SUSCRIPTO EN CABA, EL 27 DE MAYO DE 2024.
</t>
  </si>
  <si>
    <t>27816 - 24/06/2026</t>
  </si>
  <si>
    <t xml:space="preserve">MENSAJE N° 103/26 QUE SOLICITA ACUERDO PARA DESIGNAR DEFENSOR PUBLICO DE VICTIMA CON ASIENTO EN LA PROVINCIA DE ENTRE RIOS, AL DR. JUAN IGNACIO LAZZANEO.
</t>
  </si>
  <si>
    <t xml:space="preserve"> 10 09/04/2026 -</t>
  </si>
  <si>
    <t>16/06/2026</t>
  </si>
  <si>
    <t xml:space="preserve"> 09/04/2026 -</t>
  </si>
  <si>
    <t>09/04/2026</t>
  </si>
  <si>
    <t xml:space="preserve">MENSAJE N° 102/26 QUE SOLICITA ACUERDO PARA DESIGNAR VOCAL DE LA CAMARA FEDERAL DE APELACIONES DE MENDOZA, PROVINCIA DE MENDOZA, SALA A, AL DR. SEBASTIAN GUILLERMO SONEIRA.
</t>
  </si>
  <si>
    <t xml:space="preserve">MENSAJE N° 100/26 QUE SOLICITA ACUERDO PARA DESIGNAR JUEZ DE CAMARA DEL TRIBUNAL ORAL EN LO CRIMINAL Y CORRECCIONAL N°2 DE LA CAPITAL FEDERAL, AL DR. MARCELO ALEJANDRO PELUZZI.
</t>
  </si>
  <si>
    <t xml:space="preserve">MENSAJE N° 98/26 QUE SOLICITA ACUERDO PARA DESIGNAR JUEZA DEL JUZGADO NACIONAL DE PRIMERA INSTANCIA EN LO CIVIL N° 77 DE LA CAPITAL FEDERAL, A LA DRA. PAULA DIANA MARINKOVIC.
</t>
  </si>
  <si>
    <t xml:space="preserve"> 9 09/04/2026 -</t>
  </si>
  <si>
    <t xml:space="preserve"> 08/04/2026 -</t>
  </si>
  <si>
    <t>08/04/2026</t>
  </si>
  <si>
    <t>MENSAJE N° 97/26 QUE SOLICITA ACUERDO PARA DESIGNAR JUEZ DEL JUZGADO NACIONAL EN LO CRIMINAL Y CORRECCIONAL N° 31 DE LA CAPITAL FEDERAL, AL DR. DIEGO JAVIER SOUTO.</t>
  </si>
  <si>
    <t>MENSAJE N° 96/26 QUE SOLICITA ACUERDO PARA DESIGNAR JUEZ DEL JUZGADO FEDERAL DE PRIMERA INSTANCIA DE SAN CARLOS DE BARILOCHE, PROV. DE RIO NEGRO, AL DR. LEANDRO AGUSTIN GOMEZ CONSTENLA.</t>
  </si>
  <si>
    <t>MENSAJE N° 95/26 QUE SOLICITA ACUERDO PARA DESIGNAR JUEZ DEL JUZGADO FEDERAL DE PRIMERA INSTANCIA N° 2 DE SALTA, PROV. DE SALTA, AL DR. DIEGO ANZORREGUY.</t>
  </si>
  <si>
    <t xml:space="preserve"> 8 09/04/2026 -</t>
  </si>
  <si>
    <t xml:space="preserve"> 07/04/2026 -</t>
  </si>
  <si>
    <t>07/04/2026</t>
  </si>
  <si>
    <t>MENSAJE N° 94/26 QUE SOLICITA ACUERDO PARA DESIGNAR JUEZ DEL JUZGADO NACIONAL DE PRIMERA INSTANCIA EN LO COMERCIAL N° 4 DE LA CAPITAL FEDERAL, AL DR. JUAN PEDRO GIUDICI.</t>
  </si>
  <si>
    <t>14/05/2026</t>
  </si>
  <si>
    <t>MENSAJE N° 93/26 QUE SOLICITA ACUERDO PARA DESIGNAR JUEZA DEL JUZGADO FEDERAL DE PRIMERA INSTANCIA DE EJECUCIONES FISCALES TRIBUTARIAS N° 4 DE LA CAPITAL FEDERAL, A LA DRA. MARIA FLORENCIA MASSA.</t>
  </si>
  <si>
    <t>MENSAJE N° 92/26 QUE SOLICITA ACUERDO PARA DESIGNAR JUEZA DEL JUZGADO NACIONAL DE PRIMERA INSTANCIA EN LO CIVIL N° 94 DE LA CAPITAL FEDERAL, A LA DRA. GABRIELA MARIEL PALOPOLI.</t>
  </si>
  <si>
    <t xml:space="preserve">MENSAJE N° 91/26 QUE SOLICITA ACUERDO PARA DESIGNAR JUEZ DE CAMARA DEL TRIBUNAL ORAL EN LO CRIMINAL FEDERAL N° 2 DE SAN MARTIN, PROV. DE BUENOS AIRES, AL DR. MARIO ALBERTO FERRARIO.
</t>
  </si>
  <si>
    <t>MENSAJE N° 90/26 QUE SOLICITA ACUERDO PARA DESIGNAR JUEZ DEL TRIBUNAL FEDERAL DE JUICIO DE NEUQUEN, PROV. DEL NEUQUEN, AL DR. PABLO ANTONIO MATKOVIC.</t>
  </si>
  <si>
    <t>MENSAJE N° 89/26 QUE SOLICITA ACUERDO PARA DESIGNAR JUEZ DEL JUZGADO FEDERAL DE PRIMERA INSTANCIA DE RAFAELA, PROV. DE SANTA FE, AL DR. SANTIAGO JOAQUIN SAUX.</t>
  </si>
  <si>
    <t>MENSAJE N° 88/26 QUE SOLICITA ACUERDO PARA DESIGNAR JUEZ DEL JUZGADO NACIONAL EN LO CRIMINAL Y CORRECCIONAL N° 7 DE LA CAPITAL FEDERAL, AL DR. MARIANO FRANCISCO AMADURI.</t>
  </si>
  <si>
    <t>MENSAJE N° 87/26 QUE SOLICITA ACUERDO PARA DESIGNAR JUEZ DE CAMARA DEL TRIBUNAL ORAL EN LO CRIMINAL FEDERAL N° 5 DE SAN MARTIN, PROV. DE BUENOS AIRES, AL DR. JUAN MANUEL GASET MAISONAVE.</t>
  </si>
  <si>
    <t xml:space="preserve">MENSAJE N° 86/26 QUE SOLICITA ACUERDO PARA DESIGNAR JUEZ DEL JUZGADO NACIONAL EN LO CRIMINAL Y CORRECCIONAL N° 1 DE LA CAPITAL FEDERAL, AL DR. JOSE MIGUEL GUERRERO.
</t>
  </si>
  <si>
    <t xml:space="preserve">MENSAJE N° 85/26 QUE SOLICITA ACUERDO PARA DESIGNAR JUEZA DE CAMARA DEL TRIBUNAL ORAL EN LO CRIMINAL FEDERAL N° 1 DE LA PLATA, PROV. DE BUENOS AIRES, A LA DRA. JESICA YAEL SIRCOVICH.
</t>
  </si>
  <si>
    <t xml:space="preserve"> 7 09/04/2026 -</t>
  </si>
  <si>
    <t xml:space="preserve"> 06/04/2026 -</t>
  </si>
  <si>
    <t>06/04/2026</t>
  </si>
  <si>
    <t xml:space="preserve">MENSAJE Nº 82/26 Y PROYECTO DE LEY QUE APRUEBA EL ACUERDO DE LIBRE COMERCIO ENTRE EL MERCADO COMUN DEL SUR "MERCOSUR" Y LA REPUBLICA DE SINGAPUR, CELEBRADO EN LA CDAD. DE RIO DE JANEIRO, REP. FEDERATIVA DEL BRASIL, EL 7 DE DICIEMBRE DE 2023.
</t>
  </si>
  <si>
    <t xml:space="preserve"> 19 09/04/2026 -</t>
  </si>
  <si>
    <t xml:space="preserve">AP  14/05/2026            </t>
  </si>
  <si>
    <t xml:space="preserve">MENSAJE N° 84/26 QUE SOLICITA ACUERDO PARA DESIGNAR FISCAL GENERAL ANTE LOS TRIBUNALES ORALES EN LO CRIMINAL Y CORRECCIONAL DE LA CAPITAL FEDERAL, FISCALIA N°9, AL DR.  SANTIAGO VISMARA.
</t>
  </si>
  <si>
    <t xml:space="preserve"> 6 09/04/2026 -</t>
  </si>
  <si>
    <t xml:space="preserve"> 01/04/2026 -</t>
  </si>
  <si>
    <t>01/04/2026</t>
  </si>
  <si>
    <t xml:space="preserve">MENSAJE N° 83/26 QUE SOLICITA ACUERDO PARA DESIGNAR DEFENSOR PUBLICO OFICIAL FEDERAL DEL INTERIOR DEL PAIS CON ASIENTO EN LA CDAD. DE MENDOZA, PROV. DE MENDOZA, AL DR. CARLOS AGUSTIN PARMA.
</t>
  </si>
  <si>
    <t>MENSAJE N° 81/26 QUE SOLICITA ACUERDO PARA DESIGNAR VOCAL DE LA CAMARA NACIONAL DE APELACIONES EN LO CRIMINAL Y CORRECCIONAL DE LA CAPITAL FEDERAL, VOCALIA N° 14, A LA DRA. YAMILE SUSANA BERNAN.</t>
  </si>
  <si>
    <t xml:space="preserve"> 5 09/04/2026 -</t>
  </si>
  <si>
    <t xml:space="preserve"> 31/03/2026 -</t>
  </si>
  <si>
    <t>31/03/2026</t>
  </si>
  <si>
    <t>MENSAJE N° 80/26 QUE SOLICITA ACUERDO PARA DESIGNAR JUEZA DEL JUZGADO NACIONAL DE PRIMERA INSTANCIA EN LO COMERCIAL N° 22 DE LA CAPITAL FEDERAL, A LA DRA. MARIA AGUSTINA BOYAJIAN RIVAS.</t>
  </si>
  <si>
    <t>MENSAJE N° 79/26 QUE SOLICITA ACUERDO PARA DESIGNAR JUEZA DEL JUZGADO FEDERAL DE PRIMERA INSTANCIA DE EJECUCIONES FISCALES TRIBUTARIAS N° 3 DE LA CAPITAL FEDERAL, A LA DRA. MARIA LAURA AMERI.</t>
  </si>
  <si>
    <t>MENSAJE N° 78/26 QUE SOLICITA ACUERDO PARA DESIGNAR JUEZ DEL JUZGADO FEDERAL DE PRIMERA INSTANCIA DE LA SEGURIDAD SOCIAL N° 10 DE LA CAPITAL FEDERAL, AL DR. DIEGO ALLIEVI.</t>
  </si>
  <si>
    <t xml:space="preserve">MENSAJE N° 77/26 QUE SOLICITA ACUERDO PARA DESIGNAR JUEZ DEL JUZGADO NACIONAL DE PRIMERA INSTANCIA EN LO CIVIL N° 25 DE LA CAPITAL FEDERAL, AL DR. SANTOS ENRIQUE CIFUENTES.
</t>
  </si>
  <si>
    <t xml:space="preserve">MENSAJE N° 76/26 QUE SOLICITA ACUERDO PARA DESIGNAR JUEZ DEL JUZGADO FEDERAL DE GARANTIAS N° 2 DE SANTA FE, PROVINCIA DE SANTA FE, AL DR. WALTER ALBERTO RODRIGUEZ.
</t>
  </si>
  <si>
    <t>MENSAJE N° 75/26 QUE SOLICITA ACUERDO PARA DESIGNAR JUEZ DEL JUZGADO NACIONAL EN LO CRIMINAL Y CORRECCIONAL Nª 47 DE LA CAPITAL FEDERAL AL DR. PABLO FEDERICO MOYA.</t>
  </si>
  <si>
    <t xml:space="preserve">MENSAJE N° 74/26 QUE SOLICITA ACUERDO PARA DESIGNAR JUEZA DEL JUZGADO FEDERAL DE PRIMERA INSTANCIA DE HURLINGHAM, PROV. DE BUENOS AIRES A LA DRA. MARIA CRISTINA JUAN.
</t>
  </si>
  <si>
    <t>MENSAJE N° 73/26 QUE SOLICITA ACUERDO PARA DESIGNAR VOCAL DE LA CAMARA NACIONAL DE APELACIONES EN LO COMERCIAL DE LA CAPITAL FEDERAL, SALA B, AL DR. JORGE DJIVARIS.</t>
  </si>
  <si>
    <t>MENSAJE N° 72/26 QUE SOLICITA ACUERDO PARA DESIGNAR VOCAL DE LA CAMARA FEDERAL DE APELACIONES DE LA PLATA, PROV. DE BUENOS AIRES, SALA I, AL DR. LAUREANO ALBERTO DURAN.</t>
  </si>
  <si>
    <t>MENSAJE N° 71/26 QUE SOLICITA ACUERDO PARA DESIGNAR JUEZ DE CAMARA DEL TRIBUNAL ORAL EN LO PENAL ECONOMICO N° 2 DE LA CAPITAL FEDERAL, AL DR. FEDERICO NOVELLO.</t>
  </si>
  <si>
    <t xml:space="preserve">MENSAJE N° 70/26 QUE SOLICITA ACUERDO PARA DESIGNAR JUEZ DE CAMARA DEL TRIBUNAL ORAL EN LO CRIMINAL FEDERAL N° 5 DE SAN MARTIN, PROVINCIA DE BUENOS AIRES, AL DR. JAVIER MATIAS ARZUBI CALVO.
</t>
  </si>
  <si>
    <t xml:space="preserve">MENSAJE N° 69/26 QUE SOLICITA ACUERDO PARA DESIGNAR FISCAL ANTE LOS JUZGADOS NACIONALES EN LO PENAL ECONOMICO, FISCALIA N° 1, AL DR. JUAN ANDRES MOLDES.
</t>
  </si>
  <si>
    <t xml:space="preserve"> 4 09/04/2026 -</t>
  </si>
  <si>
    <t xml:space="preserve"> 30/03/2026 -</t>
  </si>
  <si>
    <t>MENSAJE N° 68/26 QUE SOLICITA ACUERDO PARA DESIGNAR JUEZ DEL TRIBUNAL FEDERAL DE JUICIO DE SANTA FE, PROVINCIA DE SANTA FE, AL DR. EMILIO ROSATTI.</t>
  </si>
  <si>
    <t xml:space="preserve">MENSAJE N° 67/26 QUE SOLICITA ACUERDO PARA DESIGNAR JUEZA DEL JUZGADO NACIONAL DE PRIMERA INSTANCIA EN LO CIVIL Nº 62 DE LA CAPITAL FEDERAL, A LA DRA. LAURA WISZNIACKI.
</t>
  </si>
  <si>
    <t>MENSAJE N° 66/26 QUE SOLICITA ACUERDO PARA DESIGNAR JUEZ DE CAMARA DEL TRIBUNAL ORAL EN LO CRIMINAL Y CORRECCIONAL Nº 7 DE LA CAPITAL FEDERAL AL DR. NICOLAS RAMON CEBALLOS.</t>
  </si>
  <si>
    <t>MENSAJE Nº 65/26 QUE SOLICITA ACUERDO PARA DESIGNAR JUEZA DEL JUZGADO NACIONAL EN LO CRIMINAL Y CORRECCIONAL N° 23 DE LA CAPITAL FEDERAL, A LA DRA. LAURA FABIANA KVITKO.</t>
  </si>
  <si>
    <t xml:space="preserve">MENSAJE N° 31/26 QUE SOLICITA ACUERDO PARA DESIGNAR JUEZ DE CÁMARA DEL TRIBUNAL ORAL EN LO CRIMINAL FEDERAL N° 3 DE SAN MARTÍN, PROVINCIA DE BUENOS AIRES, AL DR. PABLO JAVIER FLORES.
</t>
  </si>
  <si>
    <t>MENSAJE N° 64/26 QUE SOLICITA ACUERDO PARA DESIGNAR VOCAL DE LA CAMARA FEDERAL DE LA SEGURIDAD SOCIAL, SALA III, AL DR. FERNANDO STRASSER.</t>
  </si>
  <si>
    <t>MENSAJE N° 63/26 QUE SOLICITA ACUERDO PARA DESIGNAR VOCAL DE LA CAMARA FEDERAL DE LA SEGURIDAD SOCIAL, SALA II, AL DR. WALTER FABIAN CARNOTA.</t>
  </si>
  <si>
    <t>MENSAJE N° 62/26 QUE SOLICITA ACUERDO PARA DESIGNAR VOCAL DE LA CAMARA NACIONAL DE APELACIONES EN LO CIVIL DE LA CAPITAL FEDERAL, SALA K, A LA DRA. LUCILA INES CORDOBA.</t>
  </si>
  <si>
    <t>MENSAJE N° 61/26 QUE SOLICITA ACUERDO PARA DESIGNAR VOCAL DE LA CAMARA NACIONAL DE APELACIONES EN LO CIVIL DE LA CAPITAL FEDERAL, SALA F, A LA DRA. PAULA ANDREA CASTRO.</t>
  </si>
  <si>
    <t>MENSAJE N° 60/26 QUE SOLICITA ACUERDO PARA DESIGNAR VOCAL DE LA CAMARA NACIONAL DE APELACIONES EN LO CIVIL DE LA CAPITAL FEDERAL, SALA E, A LA DRA. SAMANTA CLAUDIA BISCARDI.</t>
  </si>
  <si>
    <t>MENSAJE N° 59/26 QUE SOLICITA ACUERDO PARA DESIGNAR VOCAL DE LA CAMARA NACIONAL DE APELACIONES EN LO CIVIL DE LA CAPITAL FEDERAL, SALA E, A LA DRA. ANALIA VICTORIA ROMERO.</t>
  </si>
  <si>
    <t>MENSAJE N° 58/26 QUE SOLICITA ACUERDO PARA DESIGNAR VOCAL DE LA CAMARA NACIONAL DE APELACIONES EN LO CIVIL DE LA CAPITAL FEDERAL, SALA F,  AL DR. OSVALDO FELIPE PITRAU.</t>
  </si>
  <si>
    <t>MENSAJE N° 57/26 QUE SOLICITA ACUERDO PARA DESIGNAR VOCAL DE LA CAMARA NACIONAL DE APELACIONES EN LO CRIMINAL Y CORRECCIONAL DE LA CAPITAL FEDERAL, VOCALIA N° 20,  AL DR. SANTIAGO QUIAN ZAVALIA.</t>
  </si>
  <si>
    <t>MENSAJE N° 56/26 QUE SOLICITA ACUERDO PARA DESIGNAR JUEZ DEL TRIBUNAL FEDERAL DE JUICIO DE FORMOSA, PROVINCIA DE FORMOSA, AL DR. GERARDO DANIEL CACACE.</t>
  </si>
  <si>
    <t>MENSAJE N° 55/26 QUE SOLICITA ACUERDO PARA DESIGNAR JUEZ DEL JUZGADO NACIONAL DE PRIMERA INSTANCIA EN LO CIVIL N° 64 DE LA CAPITAL FEDERAL, AL DR. GERMAN AUGUSTO DEGANO.</t>
  </si>
  <si>
    <t>MENSAJE N° 54/26 QUE SOLICITA ACUERDO PARA DESIGNAR JUEZ DEL JUZGADO NACIONAL DE PRIMERA INSTANCIA EN LO CIVIL N° 80 DE LA CAPITAL FEDERAL, AL DR. EZEQUIEL JAVIER SOBRINO REIG.</t>
  </si>
  <si>
    <t>MENSAJE N° 53/26 QUE SOLICITA ACUERDO PARA DESIGNAR JUEZ DE CAMARA DEL TRIBUNAL ORAL EN LO CRIMINAL Y CORRECCIONAL N° 3 DE LA CAPITAL FEDERAL, AL DR. HUGO FABIAN DECARIA.</t>
  </si>
  <si>
    <t>MENSAJE N° 52/26 QUE SOLICITA ACUERDO PARA DESIGNAR DEFENSOR PUBLICO CURADOR DE LA DEFENSORIA GENERAL DE LA NACION, DEFENSORIA PUBLICA CURADURIA N° 4, AL DR. FELIPE ALBERTO ALLIAUD.</t>
  </si>
  <si>
    <t>MENSAJE N° 51/26 QUE SOLICITA ACUERDO PARA DESIGNAR DEFENSOR PUBLICO DE MENORES E INCAPACES ANTE LOS JUZGADOS NACIONALES DE PRIMERA INSTANCIA EN LO CIVIL, COMERCIAL Y DEL TRABAJO DE LA CAPITAL FEDERAL, DEFENSORIA N° 2, AL DR. LUCAS MARCELO BELLOTTI SAN MARTIN.</t>
  </si>
  <si>
    <t>MENSAJE N° 50/26 QUE SOLICITA ACUERDO PARA DESIGNAR DEFENSORA PUBLICA DE MENORES E INCAPACES ANTE LOS JUZGADOS NACIONALES DE PRIMERA INSTANCIA EN LO CIVIL, COMERCIAL Y DEL TRABAJO DE LA CAPITAL FEDERAL, DEFENSORIA N° 3, A LA DRA. MARCELA LORENA SASSO.</t>
  </si>
  <si>
    <t>MENSAJE N° 49/26 QUE SOLICITA ACUERDO PARA DESIGNAR DEFENSORA PUBLICA DE MENORES E INCAPACES ANTE LOS JUZGADOS NACIONALES DE PRIMERA INSTANCIA EN LO CIVIL, COMERCIAL Y DEL TRABAJO DE LA CAPITAL FEDERAL, DEFENSORIA N° 7, A LA DRA. VERONICA MABEL POLVERINI.</t>
  </si>
  <si>
    <t>MENSAJE N° 47/26 QUE SOLICITA ACUERDO PARA DESIGNAR JUEZ DE CAMARA DEL TRIBUNAL ORAL EN LO CRIMINAL FEDERAL N° 2 DE LA PLATA, PROVINCIA DE BUENOS AIRES, AL DR. PABLO EZEQUIEL WILK.</t>
  </si>
  <si>
    <t xml:space="preserve">MENSAJE N° 45/26 QUE SOLICITA ACUERDO PARA DESIGNAR CONJUECES DE LOS JUZGADOS NACIONALES DE PRIMERA INSTANCIA EN LO CIVIL CON COMPETENCIA EXCLUSIVA EN ASUNTOS DE FAMILIA Y CAPACIDAD DE LAS PERSONAS DE LA JURISDICCION DE LA CAMARA NACIONAL DE APELACIONES EN LO CIVIL DE LA CAPITAL FEDERAL.
</t>
  </si>
  <si>
    <t xml:space="preserve"> 15/05/2026 -  -</t>
  </si>
  <si>
    <t xml:space="preserve"> 30/03/2026 - 16/06/2026 -</t>
  </si>
  <si>
    <t>MENSAJE N° 44/26 QUE SOLICITA ACUERDO PARA DESIGNAR JUEZA DE CAMARA DEL TRIBUNAL ORAL EN LO CRIMINAL FEDERAL N° 3 DE LA PLATA, PROVINCIA DE BUENOS AIRES, A LA DRA. MARIA JULIA SOSA.</t>
  </si>
  <si>
    <t>MENSAJE N° 43/26 QUE SOLICITA ACUERDO PARA DESIGNAR JUEZ DEL JUZGADO NACIONAL DE PRIMERA INSTANCIA EN LO CIVIL N° 95 DE LA CAPITAL FEDERAL, AL DR. JUAN MARTIN BALCAZAR.</t>
  </si>
  <si>
    <t>MENSAJE N° 42/26 QUE SOLICITA ACUERDO PARA DESIGNAR JUEZA DE CAMARA DEL TRIBUNAL ORAL EN LO CRIMINAL FEDERAL N° 3 DE LA PLATA, PROVINCIA DE BUENOS AIRES, A LA DRA. MARIA VERONICA MICHELLI.</t>
  </si>
  <si>
    <t xml:space="preserve"> 03/06/2026 -</t>
  </si>
  <si>
    <t>03/06/2026</t>
  </si>
  <si>
    <t>MENSAJE N° 41/26 QUE SOLICITA ACUERDO PARA DESIGNAR JUEZ DE CAMARA DEL TRIBUNAL ORAL EN LO CRIMINAL FEDERAL N° 3 DE LA PLATA, PROVINCIA DE BUENOS AIRES, AL DR. CARLOS FABIAN CUESTA.</t>
  </si>
  <si>
    <t>MENSAJE N° 40/26 QUE SOLICITA ACUERDO PARA DESIGNAR JUEZA DEL JUZGADO NACIONAL EN LO CRIMINAL Y CORRECCIONAL N° 18 DE LA CAPITAL FEDERAL, A LA DRA. SOLEDAD EUGENIA MARIÑO.</t>
  </si>
  <si>
    <t>MENSAJE N° 39/26 QUE SOLICITA ACUERDO PARA DESIGNAR JUEZA DEL JUZGADO NACIONAL EN LO CRIMINAL Y CORRECCIONAL N° 14 DE LA CAPITAL FEDERAL, A LA DRA. PAULA FUERTES.</t>
  </si>
  <si>
    <t xml:space="preserve">MENSAJE N° 38/26 QUE SOLICITA ACUERDO PARA DESIGNAR JUEZ DE CAMARA DEL TRIBUNAL ORAL EN LO CRIMINAL FEDERAL N° 1 DE LA PLATA, PROVINCIA DE BUENOS AIRES, AL DR. CLAUDIO RICARDO SILVESTRI.
</t>
  </si>
  <si>
    <t>MENSAJE N° 37/26 QUE SOLICITA ACUERDO PARA DESIGNAR DEFENSORA PUBLICA OFICIAL ANTE LOS JUZGADOS Y ANTE LA CAMARA NACIONAL DE APELACIONES EN LO PENAL ECONOMICO, DEFENSORIA N° 1, A LA DRA. MARIA INES RESTON.</t>
  </si>
  <si>
    <t>MENSAJE N° 36/26 QUE SOLICITA ACUERDO PARA DESIGNAR JUEZA DEL JUZGADO NACIONAL EN LO CRIMINAL Y CORRECCIONAL N° 17 DE LA CAPITAL FEDERAL, A LA DRA. MARIA GLORIA CAPANEGRA.</t>
  </si>
  <si>
    <t xml:space="preserve">MENSAJE N° 35/26 QUE SOLICITA ACUERDO PARA DESIGNAR VOCAL DE LA CAMARA FEDERAL DE APELACIONES DE LA PLATA, PROVINCIA DE BUENOS AIRES, SALA III, AL DR. EMILIO SANTIAGO FAGGI.
</t>
  </si>
  <si>
    <t>MENSAJE N° 34/26 QUE SOLICITA ACUERDO PARA DESIGNAR JUEZ DEL JUZGADO NACIONAL EN LO CRIMINAL Y CORRECCIONAL N° 59 DE LA CAPITAL FEDERAL, AL DR. SANTIAGO JOSE JAIMES MUNILLA.</t>
  </si>
  <si>
    <t>MENSAJE N° 33/26 QUE SOLICITA ACUERDO PARA DESIGNAR JUEZA DE CAMARA DEL TRIBUNAL ORAL EN LO CRIMINAL Y CORRECCIONAL N° 20 DE LA CAPITAL FEDERAL, A LA DRA. IVANA SANDRA QUINTEROS.</t>
  </si>
  <si>
    <t>MENSAJE N° 32/26 QUE SOLICITA ACUERDO PARA DESIGNAR VOCAL DE LA CAMARA NACIONAL DE CASACION EN LO CRIMINAL Y CORRECCIONAL DE LA CAPITAL FEDERAL, VOCALIA N° 10, AL DR. NICOLAS GRAPPASONNO.</t>
  </si>
  <si>
    <t>MENSAJE N° 30/26 QUE SOLICITA ACUERDO PARA DESIGNAR JUEZ DEL JUZGADO NACIONAL DE PRIMERA INSTANCIA EN LO CIVIL N° 44 DE LA CAPITAL FEDERAL, AL DR. JULIAN HERRERA.</t>
  </si>
  <si>
    <t>MENSAJE N° 29/26 QUE SOLICITA ACUERDO PARA DESIGNAR JUEZ DEL JUZGADO NACIONAL DE MENORES N° 2 DE LA CAPITAL FEDERAL AL DR. IGNACIO LABADENS.</t>
  </si>
  <si>
    <t>MENSAJE N° 28/26 QUE SOLICITA ACUERDO PARA DESIGNAR JUEZ DEL JUZGADO NACIONAL DE PRIMERA INSTANCIA EN LO CIVIL N° 5 DE LA CAPITAL FEDERAL, AL DR. JAVIER ALBERTO SANTISO.</t>
  </si>
  <si>
    <t>MENSAJE N° 27/26 QUE SOLICITA ACUERDO PARA DESIGNAR JUEZ DEL JUZGADO NACIONAL EN LO CRIMINAL Y CORRECCIONAL N° 13 DE LA CAPITAL FEDERAL, AL DR. SANTIAGO ALBERTO PONCIO.</t>
  </si>
  <si>
    <t>MENSAJE N° 26/26 QUE SOLICITA ACUERDO PARA DESIGNAR JUEZ DE CAMARA DEL TRIBUNAL ORAL EN LO CRIMINAL Y CORRECCIONAL N° 1 DE LA CAPITAL FEDERAL, AL DR. NICOLAS ANTONIO PACILIO.</t>
  </si>
  <si>
    <t>MENSAJE N° 25/26 QUE SOLICITA ACUERDO PARA DESIGNAR JUEZ DE CAMARA DEL TRIBUNAL ORAL DE MENORES N° 3 DE LA CAPITAL FEDERAL, AL DR. RICARDO SANTIAGO LOMBARDO.</t>
  </si>
  <si>
    <t xml:space="preserve">MENSAJE Nº 22/26 Y PROYECTO DE LEY SOBRE INVIOLABILIDAD DE LA PROPIEDAD PRIVADA.
</t>
  </si>
  <si>
    <t xml:space="preserve"> 16 09/04/2026 -</t>
  </si>
  <si>
    <t xml:space="preserve"> 28/05/2026 - 03/06/2026 - 20/05/2026 -</t>
  </si>
  <si>
    <t xml:space="preserve">  -  - 06/04/2026 -</t>
  </si>
  <si>
    <t>DE LEGISLACIÓN GENERAL</t>
  </si>
  <si>
    <t xml:space="preserve">AP  07/08/2026            </t>
  </si>
  <si>
    <t xml:space="preserve">MENSAJE N° 19/26 QUE SOLICITA ACUERDO PARA NOMBRAR EMBAJADOR EXTRAORDINARIO Y PLENIPOTENCIARIO A LA SEÑORA CARMEN LUCILA CREXELL.
</t>
  </si>
  <si>
    <t xml:space="preserve"> 2 18/03/2026 -</t>
  </si>
  <si>
    <t>17/04/2026</t>
  </si>
  <si>
    <t xml:space="preserve"> 13/03/2026 -</t>
  </si>
  <si>
    <t xml:space="preserve"> 26/03/2026 -</t>
  </si>
  <si>
    <t>13/03/2026</t>
  </si>
  <si>
    <t>26/03/2026</t>
  </si>
  <si>
    <t xml:space="preserve">AP  09/04/2026            </t>
  </si>
  <si>
    <t>MENSAJE Nº 12/26 Y PROYECTO DE LEY QUE APRUEBA EL "ACUERDO SOBRE MEDIDAS DEL ESTADO RECTOR DEL PUERTO DESTINADAS A PREVENIR, DESALENTAR Y ELIMINAR LA PESCA ILEGAL, NO DECLARADA Y NO REGLAMENTADA", CELEBRADO EN ROMA -REPÚBLICA ITALIANA- EL 22 DE NOVIEMBRE DE 2009, EN EL MARCO DE LA CONFERENCIA DE LA ORGANIZACIÓN DE LAS NACIONES UNIDAS PARA LA ALIMENTACIÓN Y LA AGRICULTURA (FAO) EN SU 36° PERÍODO DE SESIONES.</t>
  </si>
  <si>
    <t xml:space="preserve"> 06/03/2026 -</t>
  </si>
  <si>
    <t>06/03/2026</t>
  </si>
  <si>
    <t>10/03/2026</t>
  </si>
  <si>
    <t xml:space="preserve">AP  18/03/2026  AP  24/06/2026        </t>
  </si>
  <si>
    <t>27815 - 24/06/2026</t>
  </si>
  <si>
    <t>MENSAJE N° 18/26 QUE SOLICITA ACUERDO PARA PROMOVER AL GRADO INMEDIATO SUPERIOR AL 31 DE DICIEMBRE DE 2025, A PERSONAL MILITAR SUPERIOR DE LA ARMADA ARGENTINA.</t>
  </si>
  <si>
    <t xml:space="preserve"> 1 18/03/2026 -</t>
  </si>
  <si>
    <t xml:space="preserve"> 04/03/2026 -</t>
  </si>
  <si>
    <t>04/03/2026</t>
  </si>
  <si>
    <t>MENSAJE N° 17/26 QUE SOLICITA ACUERDO PARA PROMOVER AL GRADO INMEDIATO SUPERIOR AL 31 DE DICIEMBRE DE 2025, A PERSONAL MILITAR SUPERIOR DEL EJERCITO ARGENTINO.</t>
  </si>
  <si>
    <t xml:space="preserve">MENSAJE N° 16/26 QUE SOLICITA ACUERDO PARA PROMOVER AL GRADO INMEDIATO SUPERIOR, A PERSONAL MILITAR SUPERIOR DE LA FUERZA AEREA ARGENTINA.
</t>
  </si>
  <si>
    <t>MENSAJE N° 15/26 QUE SOLICITA ACUERDO PARA PROMOVER AL GRADO INMEDIATO SUPERIOR, CON FECHA 15 DE DICIEMBRE DE 2025, AL GENERAL DE DIVISION OSCAR SANTIAGO ZARICH.</t>
  </si>
  <si>
    <t>MENSAJE N° 14/26 QUE SOLICITA ACUERDO PARA PROMOVER AL GRADO INMEDIATO SUPERIOR, CON FECHA 15 DE DICIEMBRE DE 2025, AL VICEALMIRANTE JUAN CARLOS ROMAY.</t>
  </si>
  <si>
    <t>MENSAJE N° 13/26 QUE SOLICITA ACUERDO PARA PROMOVER AL GRADO INMEDIATO SUPERIOR, CON FECHA 15 DE DICIEMBRE DE 2025, AL VICEALMIRANTE MARCELO ALEJANDRO DALLE NOGARE.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</si>
</sst>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Calibri"/>
    </font>
    <font>
      <b/>
      <sz val="11"/>
      <color indexed="8"/>
      <name val="Calibri"/>
    </font>
  </fonts>
  <fills count="2">
    <fill>
      <patternFill patternType="none"/>
    </fill>
    <fill>
      <patternFill patternType="gray125"/>
    </fill>
  </fills>
  <borders count="4">
    <border>
      <left/>
      <right/>
      <top/>
      <bottom/>
      <diagonal/>
    </border>
    <border>
      <left style="double">
        <color indexed="8"/>
      </left>
      <right style="double">
        <color indexed="8"/>
      </right>
      <top style="double">
        <color indexed="8"/>
      </top>
      <bottom/>
      <diagonal/>
    </border>
    <border>
      <left style="double">
        <color indexed="8"/>
      </left>
      <right style="double">
        <color indexed="8"/>
      </right>
      <top/>
      <bottom/>
      <diagonal/>
    </border>
    <border>
      <left style="double">
        <color indexed="8"/>
      </left>
      <right style="double">
        <color indexed="8"/>
      </right>
      <top/>
      <bottom style="double">
        <color indexed="8"/>
      </bottom>
      <diagonal/>
    </border>
  </borders>
  <cellStyleXfs count="1">
    <xf numFmtId="0" fontId="0" fillId="0" borderId="0" applyFill="0" applyProtection="0"/>
  </cellStyleXfs>
  <cellXfs count="5">
    <xf numFmtId="0" fontId="0" fillId="0" borderId="0" xfId="0" applyFill="1" applyProtection="1"/>
    <xf numFmtId="0" fontId="1" fillId="0" borderId="0" xfId="0" applyFont="1" applyFill="1" applyProtection="1"/>
    <xf numFmtId="0" fontId="1" fillId="0" borderId="1" xfId="0" applyFont="1" applyFill="1" applyBorder="1" applyAlignment="1" applyProtection="1">
      <alignment horizontal="center"/>
    </xf>
    <xf numFmtId="0" fontId="0" fillId="0" borderId="2" xfId="0" applyFill="1" applyBorder="1" applyAlignment="1" applyProtection="1">
      <alignment horizontal="center"/>
    </xf>
    <xf numFmtId="0" fontId="0" fillId="0" borderId="3" xfId="0" applyFill="1" applyBorder="1" applyAlignment="1" applyProtection="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enado.gob.ar/parlamentario/comisiones/verExp/93.26/PE/AC" TargetMode="External"/><Relationship Id="rId299" Type="http://schemas.openxmlformats.org/officeDocument/2006/relationships/hyperlink" Target="https://www.senado.gob.ar/parlamentario/parlamentaria/ordenDelDiaResultadoLink/2026/40" TargetMode="External"/><Relationship Id="rId21" Type="http://schemas.openxmlformats.org/officeDocument/2006/relationships/hyperlink" Target="https://www.senado.gob.ar/parlamentario/parlamentaria/ordenDelDiaResultadoLink/2026/216" TargetMode="External"/><Relationship Id="rId63" Type="http://schemas.openxmlformats.org/officeDocument/2006/relationships/hyperlink" Target="https://www.senado.gob.ar/parlamentario/parlamentaria/ordenDelDiaResultadoLink/2026/202" TargetMode="External"/><Relationship Id="rId159" Type="http://schemas.openxmlformats.org/officeDocument/2006/relationships/hyperlink" Target="https://www.senado.gob.ar/parlamentario/comisiones/verExp/77.26/PE/AC" TargetMode="External"/><Relationship Id="rId324" Type="http://schemas.openxmlformats.org/officeDocument/2006/relationships/hyperlink" Target="https://www.senado.gob.ar/parlamentario/comisiones/verExp/20.26/PE/AC" TargetMode="External"/><Relationship Id="rId366" Type="http://schemas.openxmlformats.org/officeDocument/2006/relationships/hyperlink" Target="https://www.senado.gob.ar/parlamentario/comisiones/verExp/2.26/PE/AC" TargetMode="External"/><Relationship Id="rId170" Type="http://schemas.openxmlformats.org/officeDocument/2006/relationships/hyperlink" Target="https://www.senado.gob.ar/parlamentario/parlamentaria/ordenDelDiaResultadoLink/2026/18" TargetMode="External"/><Relationship Id="rId226" Type="http://schemas.openxmlformats.org/officeDocument/2006/relationships/hyperlink" Target="https://www.senado.gob.ar/parlamentario/comisiones/verExp/55.26/PE/AC" TargetMode="External"/><Relationship Id="rId268" Type="http://schemas.openxmlformats.org/officeDocument/2006/relationships/hyperlink" Target="https://www.senado.gob.ar/parlamentario/comisiones/verExp/41.26/PE/AC" TargetMode="External"/><Relationship Id="rId32" Type="http://schemas.openxmlformats.org/officeDocument/2006/relationships/hyperlink" Target="https://www.senado.gob.ar/parlamentario/comisiones/verExp/161.26/PE/AC" TargetMode="External"/><Relationship Id="rId74" Type="http://schemas.openxmlformats.org/officeDocument/2006/relationships/hyperlink" Target="https://www.senado.gob.ar/parlamentario/comisiones/verExp/141.26/PE/AC" TargetMode="External"/><Relationship Id="rId128" Type="http://schemas.openxmlformats.org/officeDocument/2006/relationships/hyperlink" Target="https://www.senado.gob.ar/parlamentario/parlamentaria/ordenDelDiaResultadoLink/2026/98" TargetMode="External"/><Relationship Id="rId335" Type="http://schemas.openxmlformats.org/officeDocument/2006/relationships/hyperlink" Target="https://www.senado.gob.ar/parlamentario/parlamentaria/ordenDelDiaResultadoLink/2026/30" TargetMode="External"/><Relationship Id="rId5" Type="http://schemas.openxmlformats.org/officeDocument/2006/relationships/hyperlink" Target="https://www.senado.gob.ar/parlamentario/comisiones/verExp/562.26/S/PL" TargetMode="External"/><Relationship Id="rId181" Type="http://schemas.openxmlformats.org/officeDocument/2006/relationships/hyperlink" Target="https://www.senado.gob.ar/parlamentario/comisiones/verExp/70.26/PE/AC" TargetMode="External"/><Relationship Id="rId237" Type="http://schemas.openxmlformats.org/officeDocument/2006/relationships/hyperlink" Target="https://www.senado.gob.ar/parlamentario/comisiones/verExp/51.26/PE/AC" TargetMode="External"/><Relationship Id="rId279" Type="http://schemas.openxmlformats.org/officeDocument/2006/relationships/hyperlink" Target="https://www.senado.gob.ar/parlamentario/comisiones/verExp/36.26/PE/AC" TargetMode="External"/><Relationship Id="rId43" Type="http://schemas.openxmlformats.org/officeDocument/2006/relationships/hyperlink" Target="https://www.senado.gob.ar/parlamentario/comisiones/verExp/153.26/PE/AC" TargetMode="External"/><Relationship Id="rId139" Type="http://schemas.openxmlformats.org/officeDocument/2006/relationships/hyperlink" Target="https://www.senado.gob.ar/parlamentario/comisiones/verExp/84.26/PE/AC" TargetMode="External"/><Relationship Id="rId290" Type="http://schemas.openxmlformats.org/officeDocument/2006/relationships/hyperlink" Target="https://www.senado.gob.ar/parlamentario/parlamentaria/ordenDelDiaResultadoLink/2026/41" TargetMode="External"/><Relationship Id="rId304" Type="http://schemas.openxmlformats.org/officeDocument/2006/relationships/hyperlink" Target="https://www.senado.gob.ar/parlamentario/comisiones/verExp/27.26/PE/AC" TargetMode="External"/><Relationship Id="rId346" Type="http://schemas.openxmlformats.org/officeDocument/2006/relationships/hyperlink" Target="https://www.senado.gob.ar/parlamentario/comisiones/verExp/9.26/PE/AC" TargetMode="External"/><Relationship Id="rId85" Type="http://schemas.openxmlformats.org/officeDocument/2006/relationships/hyperlink" Target="https://www.senado.gob.ar/parlamentario/comisiones/verExp/137.26/PE/AC" TargetMode="External"/><Relationship Id="rId150" Type="http://schemas.openxmlformats.org/officeDocument/2006/relationships/hyperlink" Target="https://www.senado.gob.ar/parlamentario/comisiones/verExp/80.26/PE/AC" TargetMode="External"/><Relationship Id="rId192" Type="http://schemas.openxmlformats.org/officeDocument/2006/relationships/hyperlink" Target="https://www.senado.gob.ar/parlamentario/comisiones/verExp/66.26/PE/AC" TargetMode="External"/><Relationship Id="rId206" Type="http://schemas.openxmlformats.org/officeDocument/2006/relationships/hyperlink" Target="https://www.senado.gob.ar/parlamentario/parlamentaria/ordenDelDiaResultadoLink/2026/72" TargetMode="External"/><Relationship Id="rId248" Type="http://schemas.openxmlformats.org/officeDocument/2006/relationships/hyperlink" Target="https://www.senado.gob.ar/parlamentario/parlamentaria/ordenDelDiaResultadoLink/2026/52" TargetMode="External"/><Relationship Id="rId12" Type="http://schemas.openxmlformats.org/officeDocument/2006/relationships/hyperlink" Target="https://www.senado.gob.ar/parlamentario/parlamentaria/ordenDelDiaResultadoLink/2026/219" TargetMode="External"/><Relationship Id="rId108" Type="http://schemas.openxmlformats.org/officeDocument/2006/relationships/hyperlink" Target="https://www.senado.gob.ar/parlamentario/comisiones/verExp/96.26/S/PL" TargetMode="External"/><Relationship Id="rId315" Type="http://schemas.openxmlformats.org/officeDocument/2006/relationships/hyperlink" Target="https://www.senado.gob.ar/parlamentario/comisiones/verExp/23.26/PE/AC" TargetMode="External"/><Relationship Id="rId357" Type="http://schemas.openxmlformats.org/officeDocument/2006/relationships/hyperlink" Target="https://www.senado.gob.ar/parlamentario/comisiones/verExp/5.26/PE/AC" TargetMode="External"/><Relationship Id="rId54" Type="http://schemas.openxmlformats.org/officeDocument/2006/relationships/hyperlink" Target="https://www.senado.gob.ar/parlamentario/parlamentaria/ordenDelDiaResultadoLink/2026/205" TargetMode="External"/><Relationship Id="rId96" Type="http://schemas.openxmlformats.org/officeDocument/2006/relationships/hyperlink" Target="https://www.senado.gob.ar/parlamentario/parlamentaria/ordenDelDiaResultadoLink/2026/199" TargetMode="External"/><Relationship Id="rId161" Type="http://schemas.openxmlformats.org/officeDocument/2006/relationships/hyperlink" Target="https://www.senado.gob.ar/parlamentario/parlamentaria/ordenDelDiaResultadoLink/2026/82" TargetMode="External"/><Relationship Id="rId217" Type="http://schemas.openxmlformats.org/officeDocument/2006/relationships/hyperlink" Target="https://www.senado.gob.ar/parlamentario/comisiones/verExp/58.26/PE/AC" TargetMode="External"/><Relationship Id="rId259" Type="http://schemas.openxmlformats.org/officeDocument/2006/relationships/hyperlink" Target="https://www.senado.gob.ar/parlamentario/comisiones/verExp/44.26/PE/AC" TargetMode="External"/><Relationship Id="rId23" Type="http://schemas.openxmlformats.org/officeDocument/2006/relationships/hyperlink" Target="https://www.senado.gob.ar/parlamentario/comisiones/verExp/169.26/PE/CE" TargetMode="External"/><Relationship Id="rId119" Type="http://schemas.openxmlformats.org/officeDocument/2006/relationships/hyperlink" Target="https://www.senado.gob.ar/parlamentario/parlamentaria/ordenDelDiaResultadoLink/2026/101" TargetMode="External"/><Relationship Id="rId270" Type="http://schemas.openxmlformats.org/officeDocument/2006/relationships/hyperlink" Target="https://www.senado.gob.ar/parlamentario/comisiones/verExp/40.26/PE/AC" TargetMode="External"/><Relationship Id="rId326" Type="http://schemas.openxmlformats.org/officeDocument/2006/relationships/hyperlink" Target="https://www.senado.gob.ar/parlamentario/parlamentaria/ordenDelDiaResultadoLink/2026/33" TargetMode="External"/><Relationship Id="rId65" Type="http://schemas.openxmlformats.org/officeDocument/2006/relationships/hyperlink" Target="https://www.senado.gob.ar/parlamentario/comisiones/verExp/144.26/PE/AC" TargetMode="External"/><Relationship Id="rId130" Type="http://schemas.openxmlformats.org/officeDocument/2006/relationships/hyperlink" Target="https://www.senado.gob.ar/parlamentario/comisiones/verExp/87.26/PE/AC" TargetMode="External"/><Relationship Id="rId368" Type="http://schemas.openxmlformats.org/officeDocument/2006/relationships/hyperlink" Target="https://www.senado.gob.ar/parlamentario/parlamentaria/ordenDelDiaResultadoLink/2026/9" TargetMode="External"/><Relationship Id="rId172" Type="http://schemas.openxmlformats.org/officeDocument/2006/relationships/hyperlink" Target="https://www.senado.gob.ar/parlamentario/comisiones/verExp/73.26/PE/AC" TargetMode="External"/><Relationship Id="rId228" Type="http://schemas.openxmlformats.org/officeDocument/2006/relationships/hyperlink" Target="https://www.senado.gob.ar/parlamentario/comisiones/verExp/54.26/PE/AC" TargetMode="External"/><Relationship Id="rId281" Type="http://schemas.openxmlformats.org/officeDocument/2006/relationships/hyperlink" Target="https://www.senado.gob.ar/parlamentario/parlamentaria/ordenDelDiaResultadoLink/2026/63" TargetMode="External"/><Relationship Id="rId337" Type="http://schemas.openxmlformats.org/officeDocument/2006/relationships/hyperlink" Target="https://www.senado.gob.ar/parlamentario/comisiones/verExp/16.26/PE/AC" TargetMode="External"/><Relationship Id="rId34" Type="http://schemas.openxmlformats.org/officeDocument/2006/relationships/hyperlink" Target="https://www.senado.gob.ar/parlamentario/comisiones/verExp/160.26/PE/AC" TargetMode="External"/><Relationship Id="rId76" Type="http://schemas.openxmlformats.org/officeDocument/2006/relationships/hyperlink" Target="https://www.senado.gob.ar/parlamentario/comisiones/verExp/140.26/PE/AC" TargetMode="External"/><Relationship Id="rId141" Type="http://schemas.openxmlformats.org/officeDocument/2006/relationships/hyperlink" Target="https://www.senado.gob.ar/parlamentario/comisiones/verExp/83.26/PE/AC" TargetMode="External"/><Relationship Id="rId7" Type="http://schemas.openxmlformats.org/officeDocument/2006/relationships/hyperlink" Target="https://www.senado.gob.ar/parlamentario/comisiones/verExp/320.26/S/PL" TargetMode="External"/><Relationship Id="rId183" Type="http://schemas.openxmlformats.org/officeDocument/2006/relationships/hyperlink" Target="https://www.senado.gob.ar/parlamentario/comisiones/verExp/69.26/PE/AC" TargetMode="External"/><Relationship Id="rId239" Type="http://schemas.openxmlformats.org/officeDocument/2006/relationships/hyperlink" Target="https://www.senado.gob.ar/parlamentario/parlamentaria/ordenDelDiaResultadoLink/2026/55" TargetMode="External"/><Relationship Id="rId250" Type="http://schemas.openxmlformats.org/officeDocument/2006/relationships/hyperlink" Target="https://www.senado.gob.ar/parlamentario/comisiones/verExp/47.26/PE/AC" TargetMode="External"/><Relationship Id="rId292" Type="http://schemas.openxmlformats.org/officeDocument/2006/relationships/hyperlink" Target="https://www.senado.gob.ar/parlamentario/comisiones/verExp/31.26/PE/AC" TargetMode="External"/><Relationship Id="rId306" Type="http://schemas.openxmlformats.org/officeDocument/2006/relationships/hyperlink" Target="https://www.senado.gob.ar/parlamentario/comisiones/verExp/26.26/PE/AC" TargetMode="External"/><Relationship Id="rId45" Type="http://schemas.openxmlformats.org/officeDocument/2006/relationships/hyperlink" Target="https://www.senado.gob.ar/parlamentario/parlamentaria/ordenDelDiaResultadoLink/2026/208" TargetMode="External"/><Relationship Id="rId87" Type="http://schemas.openxmlformats.org/officeDocument/2006/relationships/hyperlink" Target="https://www.senado.gob.ar/parlamentario/parlamentaria/ordenDelDiaResultadoLink/2026/124" TargetMode="External"/><Relationship Id="rId110" Type="http://schemas.openxmlformats.org/officeDocument/2006/relationships/hyperlink" Target="https://www.senado.gob.ar/parlamentario/parlamentaria/ordenDelDiaResultadoLink/2026/103" TargetMode="External"/><Relationship Id="rId348" Type="http://schemas.openxmlformats.org/officeDocument/2006/relationships/hyperlink" Target="https://www.senado.gob.ar/parlamentario/comisiones/verExp/8.26/PE/PL" TargetMode="External"/><Relationship Id="rId152" Type="http://schemas.openxmlformats.org/officeDocument/2006/relationships/hyperlink" Target="https://www.senado.gob.ar/parlamentario/parlamentaria/ordenDelDiaResultadoLink/2026/94" TargetMode="External"/><Relationship Id="rId194" Type="http://schemas.openxmlformats.org/officeDocument/2006/relationships/hyperlink" Target="https://www.senado.gob.ar/parlamentario/parlamentaria/ordenDelDiaResultadoLink/2026/91" TargetMode="External"/><Relationship Id="rId208" Type="http://schemas.openxmlformats.org/officeDocument/2006/relationships/hyperlink" Target="https://www.senado.gob.ar/parlamentario/comisiones/verExp/61.26/PE/AC" TargetMode="External"/><Relationship Id="rId261" Type="http://schemas.openxmlformats.org/officeDocument/2006/relationships/hyperlink" Target="https://www.senado.gob.ar/parlamentario/comisiones/verExp/43.26/PE/AC" TargetMode="External"/><Relationship Id="rId14" Type="http://schemas.openxmlformats.org/officeDocument/2006/relationships/hyperlink" Target="https://www.senado.gob.ar/parlamentario/comisiones/verExp/188.26/PE/AC" TargetMode="External"/><Relationship Id="rId56" Type="http://schemas.openxmlformats.org/officeDocument/2006/relationships/hyperlink" Target="https://www.senado.gob.ar/parlamentario/comisiones/verExp/147.26/PE/AC" TargetMode="External"/><Relationship Id="rId317" Type="http://schemas.openxmlformats.org/officeDocument/2006/relationships/hyperlink" Target="https://www.senado.gob.ar/parlamentario/parlamentaria/ordenDelDiaResultadoLink/2026/36" TargetMode="External"/><Relationship Id="rId359" Type="http://schemas.openxmlformats.org/officeDocument/2006/relationships/hyperlink" Target="https://www.senado.gob.ar/parlamentario/parlamentaria/ordenDelDiaResultadoLink/2026/12" TargetMode="External"/><Relationship Id="rId98" Type="http://schemas.openxmlformats.org/officeDocument/2006/relationships/hyperlink" Target="https://www.senado.gob.ar/parlamentario/comisiones/verExp/121.26/PE/AC" TargetMode="External"/><Relationship Id="rId121" Type="http://schemas.openxmlformats.org/officeDocument/2006/relationships/hyperlink" Target="https://www.senado.gob.ar/parlamentario/comisiones/verExp/92.26/PE/AC" TargetMode="External"/><Relationship Id="rId163" Type="http://schemas.openxmlformats.org/officeDocument/2006/relationships/hyperlink" Target="https://www.senado.gob.ar/parlamentario/comisiones/verExp/76.26/PE/AC" TargetMode="External"/><Relationship Id="rId219" Type="http://schemas.openxmlformats.org/officeDocument/2006/relationships/hyperlink" Target="https://www.senado.gob.ar/parlamentario/comisiones/verExp/57.26/PE/AC" TargetMode="External"/><Relationship Id="rId230" Type="http://schemas.openxmlformats.org/officeDocument/2006/relationships/hyperlink" Target="https://www.senado.gob.ar/parlamentario/parlamentaria/ordenDelDiaResultadoLink/2026/66" TargetMode="External"/><Relationship Id="rId25" Type="http://schemas.openxmlformats.org/officeDocument/2006/relationships/hyperlink" Target="https://www.senado.gob.ar/parlamentario/comisiones/verExp/168.26/PE/AC" TargetMode="External"/><Relationship Id="rId67" Type="http://schemas.openxmlformats.org/officeDocument/2006/relationships/hyperlink" Target="https://www.senado.gob.ar/parlamentario/comisiones/verExp/143.26/PE/AC" TargetMode="External"/><Relationship Id="rId272" Type="http://schemas.openxmlformats.org/officeDocument/2006/relationships/hyperlink" Target="https://www.senado.gob.ar/parlamentario/parlamentaria/ordenDelDiaResultadoLink/2026/45" TargetMode="External"/><Relationship Id="rId328" Type="http://schemas.openxmlformats.org/officeDocument/2006/relationships/hyperlink" Target="https://www.senado.gob.ar/parlamentario/comisiones/verExp/19.26/PE/AC" TargetMode="External"/><Relationship Id="rId132" Type="http://schemas.openxmlformats.org/officeDocument/2006/relationships/hyperlink" Target="https://www.senado.gob.ar/parlamentario/comisiones/verExp/86.26/PE/AC" TargetMode="External"/><Relationship Id="rId174" Type="http://schemas.openxmlformats.org/officeDocument/2006/relationships/hyperlink" Target="https://www.senado.gob.ar/parlamentario/comisiones/verExp/72.26/PE/AC" TargetMode="External"/><Relationship Id="rId220" Type="http://schemas.openxmlformats.org/officeDocument/2006/relationships/hyperlink" Target="https://www.senado.gob.ar/parlamentario/comisiones/verExp/57.26/PE/AC" TargetMode="External"/><Relationship Id="rId241" Type="http://schemas.openxmlformats.org/officeDocument/2006/relationships/hyperlink" Target="https://www.senado.gob.ar/parlamentario/comisiones/verExp/50.26/PE/AC" TargetMode="External"/><Relationship Id="rId15" Type="http://schemas.openxmlformats.org/officeDocument/2006/relationships/hyperlink" Target="https://www.senado.gob.ar/parlamentario/parlamentaria/ordenDelDiaResultadoLink/2026/218" TargetMode="External"/><Relationship Id="rId36" Type="http://schemas.openxmlformats.org/officeDocument/2006/relationships/hyperlink" Target="https://www.senado.gob.ar/parlamentario/parlamentaria/ordenDelDiaResultadoLink/2026/212" TargetMode="External"/><Relationship Id="rId57" Type="http://schemas.openxmlformats.org/officeDocument/2006/relationships/hyperlink" Target="https://www.senado.gob.ar/parlamentario/parlamentaria/ordenDelDiaResultadoLink/2026/204" TargetMode="External"/><Relationship Id="rId262" Type="http://schemas.openxmlformats.org/officeDocument/2006/relationships/hyperlink" Target="https://www.senado.gob.ar/parlamentario/comisiones/verExp/43.26/PE/AC" TargetMode="External"/><Relationship Id="rId283" Type="http://schemas.openxmlformats.org/officeDocument/2006/relationships/hyperlink" Target="https://www.senado.gob.ar/parlamentario/comisiones/verExp/34.26/PE/AC" TargetMode="External"/><Relationship Id="rId318" Type="http://schemas.openxmlformats.org/officeDocument/2006/relationships/hyperlink" Target="https://www.senado.gob.ar/parlamentario/comisiones/verExp/22.26/PE/AC" TargetMode="External"/><Relationship Id="rId339" Type="http://schemas.openxmlformats.org/officeDocument/2006/relationships/hyperlink" Target="https://www.senado.gob.ar/parlamentario/comisiones/verExp/15.26/PE/AC" TargetMode="External"/><Relationship Id="rId78" Type="http://schemas.openxmlformats.org/officeDocument/2006/relationships/hyperlink" Target="https://www.senado.gob.ar/parlamentario/parlamentaria/ordenDelDiaResultadoLink/2026/127" TargetMode="External"/><Relationship Id="rId99" Type="http://schemas.openxmlformats.org/officeDocument/2006/relationships/hyperlink" Target="https://www.senado.gob.ar/parlamentario/parlamentaria/ordenDelDiaResultadoLink/2026/198" TargetMode="External"/><Relationship Id="rId101" Type="http://schemas.openxmlformats.org/officeDocument/2006/relationships/hyperlink" Target="https://www.senado.gob.ar/parlamentario/comisiones/verExp/112.26/S/PR" TargetMode="External"/><Relationship Id="rId122" Type="http://schemas.openxmlformats.org/officeDocument/2006/relationships/hyperlink" Target="https://www.senado.gob.ar/parlamentario/parlamentaria/ordenDelDiaResultadoLink/2026/100" TargetMode="External"/><Relationship Id="rId143" Type="http://schemas.openxmlformats.org/officeDocument/2006/relationships/hyperlink" Target="https://www.senado.gob.ar/parlamentario/parlamentaria/ordenDelDiaResultadoLink/2026/86" TargetMode="External"/><Relationship Id="rId164" Type="http://schemas.openxmlformats.org/officeDocument/2006/relationships/hyperlink" Target="https://www.senado.gob.ar/parlamentario/parlamentaria/ordenDelDiaResultadoLink/2026/58" TargetMode="External"/><Relationship Id="rId185" Type="http://schemas.openxmlformats.org/officeDocument/2006/relationships/hyperlink" Target="https://www.senado.gob.ar/parlamentario/parlamentaria/ordenDelDiaResultadoLink/2026/78" TargetMode="External"/><Relationship Id="rId350" Type="http://schemas.openxmlformats.org/officeDocument/2006/relationships/hyperlink" Target="https://www.senado.gob.ar/parlamentario/parlamentaria/ordenDelDiaResultadoLink/2026/3" TargetMode="External"/><Relationship Id="rId9" Type="http://schemas.openxmlformats.org/officeDocument/2006/relationships/hyperlink" Target="https://www.senado.gob.ar/parlamentario/parlamentaria/ordenDelDiaResultadoLink/2026/152" TargetMode="External"/><Relationship Id="rId210" Type="http://schemas.openxmlformats.org/officeDocument/2006/relationships/hyperlink" Target="https://www.senado.gob.ar/parlamentario/comisiones/verExp/60.26/PE/AC" TargetMode="External"/><Relationship Id="rId26" Type="http://schemas.openxmlformats.org/officeDocument/2006/relationships/hyperlink" Target="https://www.senado.gob.ar/parlamentario/comisiones/verExp/168.26/PE/AC" TargetMode="External"/><Relationship Id="rId231" Type="http://schemas.openxmlformats.org/officeDocument/2006/relationships/hyperlink" Target="https://www.senado.gob.ar/parlamentario/comisiones/verExp/53.26/PE/AC" TargetMode="External"/><Relationship Id="rId252" Type="http://schemas.openxmlformats.org/officeDocument/2006/relationships/hyperlink" Target="https://www.senado.gob.ar/parlamentario/comisiones/verExp/46.26/PE/AC" TargetMode="External"/><Relationship Id="rId273" Type="http://schemas.openxmlformats.org/officeDocument/2006/relationships/hyperlink" Target="https://www.senado.gob.ar/parlamentario/comisiones/verExp/39.26/PE/AC" TargetMode="External"/><Relationship Id="rId294" Type="http://schemas.openxmlformats.org/officeDocument/2006/relationships/hyperlink" Target="https://www.senado.gob.ar/parlamentario/comisiones/verExp/30.26/PE/AC" TargetMode="External"/><Relationship Id="rId308" Type="http://schemas.openxmlformats.org/officeDocument/2006/relationships/hyperlink" Target="https://www.senado.gob.ar/parlamentario/parlamentaria/ordenDelDiaResultadoLink/2026/38" TargetMode="External"/><Relationship Id="rId329" Type="http://schemas.openxmlformats.org/officeDocument/2006/relationships/hyperlink" Target="https://www.senado.gob.ar/parlamentario/parlamentaria/ordenDelDiaResultadoLink/2026/32" TargetMode="External"/><Relationship Id="rId47" Type="http://schemas.openxmlformats.org/officeDocument/2006/relationships/hyperlink" Target="https://www.senado.gob.ar/parlamentario/comisiones/verExp/152.26/PE/AC" TargetMode="External"/><Relationship Id="rId68" Type="http://schemas.openxmlformats.org/officeDocument/2006/relationships/hyperlink" Target="https://www.senado.gob.ar/parlamentario/comisiones/verExp/143.26/PE/AC" TargetMode="External"/><Relationship Id="rId89" Type="http://schemas.openxmlformats.org/officeDocument/2006/relationships/hyperlink" Target="https://www.senado.gob.ar/parlamentario/comisiones/verExp/136.26/PE/AC" TargetMode="External"/><Relationship Id="rId112" Type="http://schemas.openxmlformats.org/officeDocument/2006/relationships/hyperlink" Target="https://www.senado.gob.ar/parlamentario/comisiones/verExp/95.26/PE/PL" TargetMode="External"/><Relationship Id="rId133" Type="http://schemas.openxmlformats.org/officeDocument/2006/relationships/hyperlink" Target="https://www.senado.gob.ar/parlamentario/comisiones/verExp/86.26/PE/AC" TargetMode="External"/><Relationship Id="rId154" Type="http://schemas.openxmlformats.org/officeDocument/2006/relationships/hyperlink" Target="https://www.senado.gob.ar/parlamentario/comisiones/verExp/79.26/PE/AC" TargetMode="External"/><Relationship Id="rId175" Type="http://schemas.openxmlformats.org/officeDocument/2006/relationships/hyperlink" Target="https://www.senado.gob.ar/parlamentario/comisiones/verExp/72.26/PE/AC" TargetMode="External"/><Relationship Id="rId340" Type="http://schemas.openxmlformats.org/officeDocument/2006/relationships/hyperlink" Target="https://www.senado.gob.ar/parlamentario/comisiones/verExp/15.26/PE/AC" TargetMode="External"/><Relationship Id="rId361" Type="http://schemas.openxmlformats.org/officeDocument/2006/relationships/hyperlink" Target="https://www.senado.gob.ar/parlamentario/comisiones/verExp/4.26/PE/AC" TargetMode="External"/><Relationship Id="rId196" Type="http://schemas.openxmlformats.org/officeDocument/2006/relationships/hyperlink" Target="https://www.senado.gob.ar/parlamentario/comisiones/verExp/65.26/PE/AC" TargetMode="External"/><Relationship Id="rId200" Type="http://schemas.openxmlformats.org/officeDocument/2006/relationships/hyperlink" Target="https://www.senado.gob.ar/parlamentario/parlamentaria/ordenDelDiaResultadoLink/2026/74" TargetMode="External"/><Relationship Id="rId16" Type="http://schemas.openxmlformats.org/officeDocument/2006/relationships/hyperlink" Target="https://www.senado.gob.ar/parlamentario/comisiones/verExp/183.26/PE/AC" TargetMode="External"/><Relationship Id="rId221" Type="http://schemas.openxmlformats.org/officeDocument/2006/relationships/hyperlink" Target="https://www.senado.gob.ar/parlamentario/parlamentaria/ordenDelDiaResultadoLink/2026/68" TargetMode="External"/><Relationship Id="rId242" Type="http://schemas.openxmlformats.org/officeDocument/2006/relationships/hyperlink" Target="https://www.senado.gob.ar/parlamentario/parlamentaria/ordenDelDiaResultadoLink/2026/54" TargetMode="External"/><Relationship Id="rId263" Type="http://schemas.openxmlformats.org/officeDocument/2006/relationships/hyperlink" Target="https://www.senado.gob.ar/parlamentario/parlamentaria/ordenDelDiaResultadoLink/2026/48" TargetMode="External"/><Relationship Id="rId284" Type="http://schemas.openxmlformats.org/officeDocument/2006/relationships/hyperlink" Target="https://www.senado.gob.ar/parlamentario/parlamentaria/ordenDelDiaResultadoLink/2026/88" TargetMode="External"/><Relationship Id="rId319" Type="http://schemas.openxmlformats.org/officeDocument/2006/relationships/hyperlink" Target="https://www.senado.gob.ar/parlamentario/comisiones/verExp/22.26/PE/AC" TargetMode="External"/><Relationship Id="rId37" Type="http://schemas.openxmlformats.org/officeDocument/2006/relationships/hyperlink" Target="https://www.senado.gob.ar/parlamentario/comisiones/verExp/159.26/PE/AC" TargetMode="External"/><Relationship Id="rId58" Type="http://schemas.openxmlformats.org/officeDocument/2006/relationships/hyperlink" Target="https://www.senado.gob.ar/parlamentario/comisiones/verExp/146.26/PE/AC" TargetMode="External"/><Relationship Id="rId79" Type="http://schemas.openxmlformats.org/officeDocument/2006/relationships/hyperlink" Target="https://www.senado.gob.ar/parlamentario/comisiones/verExp/139.26/PE/AC" TargetMode="External"/><Relationship Id="rId102" Type="http://schemas.openxmlformats.org/officeDocument/2006/relationships/hyperlink" Target="https://www.senado.gob.ar/parlamentario/comisiones/verExp/105.26/PE/AC" TargetMode="External"/><Relationship Id="rId123" Type="http://schemas.openxmlformats.org/officeDocument/2006/relationships/hyperlink" Target="https://www.senado.gob.ar/parlamentario/comisiones/verExp/90.26/PE/AC" TargetMode="External"/><Relationship Id="rId144" Type="http://schemas.openxmlformats.org/officeDocument/2006/relationships/hyperlink" Target="https://www.senado.gob.ar/parlamentario/comisiones/verExp/82.26/PE/AC" TargetMode="External"/><Relationship Id="rId330" Type="http://schemas.openxmlformats.org/officeDocument/2006/relationships/hyperlink" Target="https://www.senado.gob.ar/parlamentario/comisiones/verExp/18.26/PE/AC" TargetMode="External"/><Relationship Id="rId90" Type="http://schemas.openxmlformats.org/officeDocument/2006/relationships/hyperlink" Target="https://www.senado.gob.ar/parlamentario/parlamentaria/ordenDelDiaResultadoLink/2026/123" TargetMode="External"/><Relationship Id="rId165" Type="http://schemas.openxmlformats.org/officeDocument/2006/relationships/hyperlink" Target="https://www.senado.gob.ar/parlamentario/comisiones/verExp/75.26/PE/AC" TargetMode="External"/><Relationship Id="rId186" Type="http://schemas.openxmlformats.org/officeDocument/2006/relationships/hyperlink" Target="https://www.senado.gob.ar/parlamentario/comisiones/verExp/68.26/PE/AC" TargetMode="External"/><Relationship Id="rId351" Type="http://schemas.openxmlformats.org/officeDocument/2006/relationships/hyperlink" Target="https://www.senado.gob.ar/parlamentario/comisiones/verExp/7.26/PE/AC" TargetMode="External"/><Relationship Id="rId211" Type="http://schemas.openxmlformats.org/officeDocument/2006/relationships/hyperlink" Target="https://www.senado.gob.ar/parlamentario/comisiones/verExp/60.26/PE/AC" TargetMode="External"/><Relationship Id="rId232" Type="http://schemas.openxmlformats.org/officeDocument/2006/relationships/hyperlink" Target="https://www.senado.gob.ar/parlamentario/comisiones/verExp/53.26/PE/AC" TargetMode="External"/><Relationship Id="rId253" Type="http://schemas.openxmlformats.org/officeDocument/2006/relationships/hyperlink" Target="https://www.senado.gob.ar/parlamentario/comisiones/verExp/46.26/PE/AC" TargetMode="External"/><Relationship Id="rId274" Type="http://schemas.openxmlformats.org/officeDocument/2006/relationships/hyperlink" Target="https://www.senado.gob.ar/parlamentario/comisiones/verExp/39.26/PE/AC" TargetMode="External"/><Relationship Id="rId295" Type="http://schemas.openxmlformats.org/officeDocument/2006/relationships/hyperlink" Target="https://www.senado.gob.ar/parlamentario/comisiones/verExp/30.26/PE/AC" TargetMode="External"/><Relationship Id="rId309" Type="http://schemas.openxmlformats.org/officeDocument/2006/relationships/hyperlink" Target="https://www.senado.gob.ar/parlamentario/comisiones/verExp/25.26/PE/AC" TargetMode="External"/><Relationship Id="rId27" Type="http://schemas.openxmlformats.org/officeDocument/2006/relationships/hyperlink" Target="https://www.senado.gob.ar/parlamentario/parlamentaria/ordenDelDiaResultadoLink/2026/215" TargetMode="External"/><Relationship Id="rId48" Type="http://schemas.openxmlformats.org/officeDocument/2006/relationships/hyperlink" Target="https://www.senado.gob.ar/parlamentario/parlamentaria/ordenDelDiaResultadoLink/2026/207" TargetMode="External"/><Relationship Id="rId69" Type="http://schemas.openxmlformats.org/officeDocument/2006/relationships/hyperlink" Target="https://www.senado.gob.ar/parlamentario/parlamentaria/ordenDelDiaResultadoLink/2026/200" TargetMode="External"/><Relationship Id="rId113" Type="http://schemas.openxmlformats.org/officeDocument/2006/relationships/hyperlink" Target="https://www.senado.gob.ar/parlamentario/parlamentaria/ordenDelDiaResultadoLink/2026/20" TargetMode="External"/><Relationship Id="rId134" Type="http://schemas.openxmlformats.org/officeDocument/2006/relationships/hyperlink" Target="https://www.senado.gob.ar/parlamentario/parlamentaria/ordenDelDiaResultadoLink/2026/96" TargetMode="External"/><Relationship Id="rId320" Type="http://schemas.openxmlformats.org/officeDocument/2006/relationships/hyperlink" Target="https://www.senado.gob.ar/parlamentario/parlamentaria/ordenDelDiaResultadoLink/2026/35" TargetMode="External"/><Relationship Id="rId80" Type="http://schemas.openxmlformats.org/officeDocument/2006/relationships/hyperlink" Target="https://www.senado.gob.ar/parlamentario/comisiones/verExp/139.26/PE/AC" TargetMode="External"/><Relationship Id="rId155" Type="http://schemas.openxmlformats.org/officeDocument/2006/relationships/hyperlink" Target="https://www.senado.gob.ar/parlamentario/parlamentaria/ordenDelDiaResultadoLink/2026/93" TargetMode="External"/><Relationship Id="rId176" Type="http://schemas.openxmlformats.org/officeDocument/2006/relationships/hyperlink" Target="https://www.senado.gob.ar/parlamentario/parlamentaria/ordenDelDiaResultadoLink/2026/92" TargetMode="External"/><Relationship Id="rId197" Type="http://schemas.openxmlformats.org/officeDocument/2006/relationships/hyperlink" Target="https://www.senado.gob.ar/parlamentario/parlamentaria/ordenDelDiaResultadoLink/2026/75" TargetMode="External"/><Relationship Id="rId341" Type="http://schemas.openxmlformats.org/officeDocument/2006/relationships/hyperlink" Target="https://www.senado.gob.ar/parlamentario/parlamentaria/ordenDelDiaResultadoLink/2026/29" TargetMode="External"/><Relationship Id="rId362" Type="http://schemas.openxmlformats.org/officeDocument/2006/relationships/hyperlink" Target="https://www.senado.gob.ar/parlamentario/parlamentaria/ordenDelDiaResultadoLink/2026/11" TargetMode="External"/><Relationship Id="rId201" Type="http://schemas.openxmlformats.org/officeDocument/2006/relationships/hyperlink" Target="https://www.senado.gob.ar/parlamentario/comisiones/verExp/63.26/PE/AC" TargetMode="External"/><Relationship Id="rId222" Type="http://schemas.openxmlformats.org/officeDocument/2006/relationships/hyperlink" Target="https://www.senado.gob.ar/parlamentario/comisiones/verExp/56.26/PE/AC" TargetMode="External"/><Relationship Id="rId243" Type="http://schemas.openxmlformats.org/officeDocument/2006/relationships/hyperlink" Target="https://www.senado.gob.ar/parlamentario/comisiones/verExp/49.26/PE/AC" TargetMode="External"/><Relationship Id="rId264" Type="http://schemas.openxmlformats.org/officeDocument/2006/relationships/hyperlink" Target="https://www.senado.gob.ar/parlamentario/comisiones/verExp/42.26/PE/AC" TargetMode="External"/><Relationship Id="rId285" Type="http://schemas.openxmlformats.org/officeDocument/2006/relationships/hyperlink" Target="https://www.senado.gob.ar/parlamentario/comisiones/verExp/33.26/PE/AC" TargetMode="External"/><Relationship Id="rId17" Type="http://schemas.openxmlformats.org/officeDocument/2006/relationships/hyperlink" Target="https://www.senado.gob.ar/parlamentario/comisiones/verExp/183.26/PE/AC" TargetMode="External"/><Relationship Id="rId38" Type="http://schemas.openxmlformats.org/officeDocument/2006/relationships/hyperlink" Target="https://www.senado.gob.ar/parlamentario/comisiones/verExp/159.26/PE/AC" TargetMode="External"/><Relationship Id="rId59" Type="http://schemas.openxmlformats.org/officeDocument/2006/relationships/hyperlink" Target="https://www.senado.gob.ar/parlamentario/comisiones/verExp/146.26/PE/AC" TargetMode="External"/><Relationship Id="rId103" Type="http://schemas.openxmlformats.org/officeDocument/2006/relationships/hyperlink" Target="https://www.senado.gob.ar/parlamentario/comisiones/verExp/105.26/PE/AC" TargetMode="External"/><Relationship Id="rId124" Type="http://schemas.openxmlformats.org/officeDocument/2006/relationships/hyperlink" Target="https://www.senado.gob.ar/parlamentario/comisiones/verExp/90.26/PE/AC" TargetMode="External"/><Relationship Id="rId310" Type="http://schemas.openxmlformats.org/officeDocument/2006/relationships/hyperlink" Target="https://www.senado.gob.ar/parlamentario/comisiones/verExp/25.26/PE/AC" TargetMode="External"/><Relationship Id="rId70" Type="http://schemas.openxmlformats.org/officeDocument/2006/relationships/hyperlink" Target="https://www.senado.gob.ar/parlamentario/comisiones/verExp/142.26/PE/AC" TargetMode="External"/><Relationship Id="rId91" Type="http://schemas.openxmlformats.org/officeDocument/2006/relationships/hyperlink" Target="https://www.senado.gob.ar/parlamentario/comisiones/verExp/130.26/S/PL" TargetMode="External"/><Relationship Id="rId145" Type="http://schemas.openxmlformats.org/officeDocument/2006/relationships/hyperlink" Target="https://www.senado.gob.ar/parlamentario/comisiones/verExp/82.26/PE/AC" TargetMode="External"/><Relationship Id="rId166" Type="http://schemas.openxmlformats.org/officeDocument/2006/relationships/hyperlink" Target="https://www.senado.gob.ar/parlamentario/comisiones/verExp/75.26/PE/AC" TargetMode="External"/><Relationship Id="rId187" Type="http://schemas.openxmlformats.org/officeDocument/2006/relationships/hyperlink" Target="https://www.senado.gob.ar/parlamentario/comisiones/verExp/68.26/PE/AC" TargetMode="External"/><Relationship Id="rId331" Type="http://schemas.openxmlformats.org/officeDocument/2006/relationships/hyperlink" Target="https://www.senado.gob.ar/parlamentario/comisiones/verExp/18.26/PE/AC" TargetMode="External"/><Relationship Id="rId352" Type="http://schemas.openxmlformats.org/officeDocument/2006/relationships/hyperlink" Target="https://www.senado.gob.ar/parlamentario/comisiones/verExp/7.26/PE/AC" TargetMode="External"/><Relationship Id="rId1" Type="http://schemas.openxmlformats.org/officeDocument/2006/relationships/hyperlink" Target="https://www.senado.gob.ar/parlamentario/comisiones/verExp/564.26/S/PL" TargetMode="External"/><Relationship Id="rId212" Type="http://schemas.openxmlformats.org/officeDocument/2006/relationships/hyperlink" Target="https://www.senado.gob.ar/parlamentario/parlamentaria/ordenDelDiaResultadoLink/2026/70" TargetMode="External"/><Relationship Id="rId233" Type="http://schemas.openxmlformats.org/officeDocument/2006/relationships/hyperlink" Target="https://www.senado.gob.ar/parlamentario/parlamentaria/ordenDelDiaResultadoLink/2026/65" TargetMode="External"/><Relationship Id="rId254" Type="http://schemas.openxmlformats.org/officeDocument/2006/relationships/hyperlink" Target="https://www.senado.gob.ar/parlamentario/parlamentaria/ordenDelDiaResultadoLink/2026/50" TargetMode="External"/><Relationship Id="rId28" Type="http://schemas.openxmlformats.org/officeDocument/2006/relationships/hyperlink" Target="https://www.senado.gob.ar/parlamentario/comisiones/verExp/163.26/PE/AC" TargetMode="External"/><Relationship Id="rId49" Type="http://schemas.openxmlformats.org/officeDocument/2006/relationships/hyperlink" Target="https://www.senado.gob.ar/parlamentario/comisiones/verExp/150.26/PE/AC" TargetMode="External"/><Relationship Id="rId114" Type="http://schemas.openxmlformats.org/officeDocument/2006/relationships/hyperlink" Target="https://www.senado.gob.ar/parlamentario/comisiones/verExp/94.26/PE/PL" TargetMode="External"/><Relationship Id="rId275" Type="http://schemas.openxmlformats.org/officeDocument/2006/relationships/hyperlink" Target="https://www.senado.gob.ar/parlamentario/parlamentaria/ordenDelDiaResultadoLink/2026/44" TargetMode="External"/><Relationship Id="rId296" Type="http://schemas.openxmlformats.org/officeDocument/2006/relationships/hyperlink" Target="https://www.senado.gob.ar/parlamentario/parlamentaria/ordenDelDiaResultadoLink/2026/62" TargetMode="External"/><Relationship Id="rId300" Type="http://schemas.openxmlformats.org/officeDocument/2006/relationships/hyperlink" Target="https://www.senado.gob.ar/parlamentario/comisiones/verExp/28.26/PE/AC" TargetMode="External"/><Relationship Id="rId60" Type="http://schemas.openxmlformats.org/officeDocument/2006/relationships/hyperlink" Target="https://www.senado.gob.ar/parlamentario/parlamentaria/ordenDelDiaResultadoLink/2026/203" TargetMode="External"/><Relationship Id="rId81" Type="http://schemas.openxmlformats.org/officeDocument/2006/relationships/hyperlink" Target="https://www.senado.gob.ar/parlamentario/parlamentaria/ordenDelDiaResultadoLink/2026/126" TargetMode="External"/><Relationship Id="rId135" Type="http://schemas.openxmlformats.org/officeDocument/2006/relationships/hyperlink" Target="https://www.senado.gob.ar/parlamentario/comisiones/verExp/85.26/PE/AC" TargetMode="External"/><Relationship Id="rId156" Type="http://schemas.openxmlformats.org/officeDocument/2006/relationships/hyperlink" Target="https://www.senado.gob.ar/parlamentario/comisiones/verExp/78.26/PE/AC" TargetMode="External"/><Relationship Id="rId177" Type="http://schemas.openxmlformats.org/officeDocument/2006/relationships/hyperlink" Target="https://www.senado.gob.ar/parlamentario/comisiones/verExp/71.26/PE/AC" TargetMode="External"/><Relationship Id="rId198" Type="http://schemas.openxmlformats.org/officeDocument/2006/relationships/hyperlink" Target="https://www.senado.gob.ar/parlamentario/comisiones/verExp/64.26/PE/AC" TargetMode="External"/><Relationship Id="rId321" Type="http://schemas.openxmlformats.org/officeDocument/2006/relationships/hyperlink" Target="https://www.senado.gob.ar/parlamentario/comisiones/verExp/21.26/PE/AC" TargetMode="External"/><Relationship Id="rId342" Type="http://schemas.openxmlformats.org/officeDocument/2006/relationships/hyperlink" Target="https://www.senado.gob.ar/parlamentario/comisiones/verExp/13.26/PE/PL" TargetMode="External"/><Relationship Id="rId363" Type="http://schemas.openxmlformats.org/officeDocument/2006/relationships/hyperlink" Target="https://www.senado.gob.ar/parlamentario/comisiones/verExp/3.26/PE/AC" TargetMode="External"/><Relationship Id="rId202" Type="http://schemas.openxmlformats.org/officeDocument/2006/relationships/hyperlink" Target="https://www.senado.gob.ar/parlamentario/comisiones/verExp/63.26/PE/AC" TargetMode="External"/><Relationship Id="rId223" Type="http://schemas.openxmlformats.org/officeDocument/2006/relationships/hyperlink" Target="https://www.senado.gob.ar/parlamentario/comisiones/verExp/56.26/PE/AC" TargetMode="External"/><Relationship Id="rId244" Type="http://schemas.openxmlformats.org/officeDocument/2006/relationships/hyperlink" Target="https://www.senado.gob.ar/parlamentario/comisiones/verExp/49.26/PE/AC" TargetMode="External"/><Relationship Id="rId18" Type="http://schemas.openxmlformats.org/officeDocument/2006/relationships/hyperlink" Target="https://www.senado.gob.ar/parlamentario/parlamentaria/ordenDelDiaResultadoLink/2026/217" TargetMode="External"/><Relationship Id="rId39" Type="http://schemas.openxmlformats.org/officeDocument/2006/relationships/hyperlink" Target="https://www.senado.gob.ar/parlamentario/parlamentaria/ordenDelDiaResultadoLink/2026/211" TargetMode="External"/><Relationship Id="rId265" Type="http://schemas.openxmlformats.org/officeDocument/2006/relationships/hyperlink" Target="https://www.senado.gob.ar/parlamentario/comisiones/verExp/42.26/PE/AC" TargetMode="External"/><Relationship Id="rId286" Type="http://schemas.openxmlformats.org/officeDocument/2006/relationships/hyperlink" Target="https://www.senado.gob.ar/parlamentario/comisiones/verExp/33.26/PE/AC" TargetMode="External"/><Relationship Id="rId50" Type="http://schemas.openxmlformats.org/officeDocument/2006/relationships/hyperlink" Target="https://www.senado.gob.ar/parlamentario/comisiones/verExp/150.26/PE/AC" TargetMode="External"/><Relationship Id="rId104" Type="http://schemas.openxmlformats.org/officeDocument/2006/relationships/hyperlink" Target="https://www.senado.gob.ar/parlamentario/parlamentaria/ordenDelDiaResultadoLink/2026/209" TargetMode="External"/><Relationship Id="rId125" Type="http://schemas.openxmlformats.org/officeDocument/2006/relationships/hyperlink" Target="https://www.senado.gob.ar/parlamentario/parlamentaria/ordenDelDiaResultadoLink/2026/99" TargetMode="External"/><Relationship Id="rId146" Type="http://schemas.openxmlformats.org/officeDocument/2006/relationships/hyperlink" Target="https://www.senado.gob.ar/parlamentario/parlamentaria/ordenDelDiaResultadoLink/2026/85" TargetMode="External"/><Relationship Id="rId167" Type="http://schemas.openxmlformats.org/officeDocument/2006/relationships/hyperlink" Target="https://www.senado.gob.ar/parlamentario/parlamentaria/ordenDelDiaResultadoLink/2026/81" TargetMode="External"/><Relationship Id="rId188" Type="http://schemas.openxmlformats.org/officeDocument/2006/relationships/hyperlink" Target="https://www.senado.gob.ar/parlamentario/parlamentaria/ordenDelDiaResultadoLink/2026/77" TargetMode="External"/><Relationship Id="rId311" Type="http://schemas.openxmlformats.org/officeDocument/2006/relationships/hyperlink" Target="https://www.senado.gob.ar/parlamentario/parlamentaria/ordenDelDiaResultadoLink/2026/37" TargetMode="External"/><Relationship Id="rId332" Type="http://schemas.openxmlformats.org/officeDocument/2006/relationships/hyperlink" Target="https://www.senado.gob.ar/parlamentario/parlamentaria/ordenDelDiaResultadoLink/2026/31" TargetMode="External"/><Relationship Id="rId353" Type="http://schemas.openxmlformats.org/officeDocument/2006/relationships/hyperlink" Target="https://www.senado.gob.ar/parlamentario/parlamentaria/ordenDelDiaResultadoLink/2026/14" TargetMode="External"/><Relationship Id="rId71" Type="http://schemas.openxmlformats.org/officeDocument/2006/relationships/hyperlink" Target="https://www.senado.gob.ar/parlamentario/comisiones/verExp/142.26/PE/AC" TargetMode="External"/><Relationship Id="rId92" Type="http://schemas.openxmlformats.org/officeDocument/2006/relationships/hyperlink" Target="https://www.senado.gob.ar/parlamentario/comisiones/verExp/130.26/S/PL" TargetMode="External"/><Relationship Id="rId213" Type="http://schemas.openxmlformats.org/officeDocument/2006/relationships/hyperlink" Target="https://www.senado.gob.ar/parlamentario/comisiones/verExp/59.26/PE/AC" TargetMode="External"/><Relationship Id="rId234" Type="http://schemas.openxmlformats.org/officeDocument/2006/relationships/hyperlink" Target="https://www.senado.gob.ar/parlamentario/comisiones/verExp/52.26/PE/AC" TargetMode="External"/><Relationship Id="rId2" Type="http://schemas.openxmlformats.org/officeDocument/2006/relationships/hyperlink" Target="https://www.senado.gob.ar/parlamentario/comisiones/verExp/564.26/S/PL" TargetMode="External"/><Relationship Id="rId29" Type="http://schemas.openxmlformats.org/officeDocument/2006/relationships/hyperlink" Target="https://www.senado.gob.ar/parlamentario/comisiones/verExp/163.26/PE/AC" TargetMode="External"/><Relationship Id="rId255" Type="http://schemas.openxmlformats.org/officeDocument/2006/relationships/hyperlink" Target="https://www.senado.gob.ar/parlamentario/comisiones/verExp/45.26/PE/AC" TargetMode="External"/><Relationship Id="rId276" Type="http://schemas.openxmlformats.org/officeDocument/2006/relationships/hyperlink" Target="https://www.senado.gob.ar/parlamentario/comisiones/verExp/38.26/PE/AC" TargetMode="External"/><Relationship Id="rId297" Type="http://schemas.openxmlformats.org/officeDocument/2006/relationships/hyperlink" Target="https://www.senado.gob.ar/parlamentario/comisiones/verExp/29.26/PE/AC" TargetMode="External"/><Relationship Id="rId40" Type="http://schemas.openxmlformats.org/officeDocument/2006/relationships/hyperlink" Target="https://www.senado.gob.ar/parlamentario/comisiones/verExp/158.26/PE/AC" TargetMode="External"/><Relationship Id="rId115" Type="http://schemas.openxmlformats.org/officeDocument/2006/relationships/hyperlink" Target="https://www.senado.gob.ar/parlamentario/comisiones/verExp/94.26/PE/PL" TargetMode="External"/><Relationship Id="rId136" Type="http://schemas.openxmlformats.org/officeDocument/2006/relationships/hyperlink" Target="https://www.senado.gob.ar/parlamentario/comisiones/verExp/85.26/PE/AC" TargetMode="External"/><Relationship Id="rId157" Type="http://schemas.openxmlformats.org/officeDocument/2006/relationships/hyperlink" Target="https://www.senado.gob.ar/parlamentario/comisiones/verExp/78.26/PE/AC" TargetMode="External"/><Relationship Id="rId178" Type="http://schemas.openxmlformats.org/officeDocument/2006/relationships/hyperlink" Target="https://www.senado.gob.ar/parlamentario/comisiones/verExp/71.26/PE/AC" TargetMode="External"/><Relationship Id="rId301" Type="http://schemas.openxmlformats.org/officeDocument/2006/relationships/hyperlink" Target="https://www.senado.gob.ar/parlamentario/comisiones/verExp/28.26/PE/AC" TargetMode="External"/><Relationship Id="rId322" Type="http://schemas.openxmlformats.org/officeDocument/2006/relationships/hyperlink" Target="https://www.senado.gob.ar/parlamentario/comisiones/verExp/21.26/PE/AC" TargetMode="External"/><Relationship Id="rId343" Type="http://schemas.openxmlformats.org/officeDocument/2006/relationships/hyperlink" Target="https://www.senado.gob.ar/parlamentario/comisiones/verExp/13.26/PE/PL" TargetMode="External"/><Relationship Id="rId364" Type="http://schemas.openxmlformats.org/officeDocument/2006/relationships/hyperlink" Target="https://www.senado.gob.ar/parlamentario/comisiones/verExp/3.26/PE/AC" TargetMode="External"/><Relationship Id="rId61" Type="http://schemas.openxmlformats.org/officeDocument/2006/relationships/hyperlink" Target="https://www.senado.gob.ar/parlamentario/comisiones/verExp/145.26/PE/AC" TargetMode="External"/><Relationship Id="rId82" Type="http://schemas.openxmlformats.org/officeDocument/2006/relationships/hyperlink" Target="https://www.senado.gob.ar/parlamentario/comisiones/verExp/138.26/PE/AC" TargetMode="External"/><Relationship Id="rId199" Type="http://schemas.openxmlformats.org/officeDocument/2006/relationships/hyperlink" Target="https://www.senado.gob.ar/parlamentario/comisiones/verExp/64.26/PE/AC" TargetMode="External"/><Relationship Id="rId203" Type="http://schemas.openxmlformats.org/officeDocument/2006/relationships/hyperlink" Target="https://www.senado.gob.ar/parlamentario/parlamentaria/ordenDelDiaResultadoLink/2026/73" TargetMode="External"/><Relationship Id="rId19" Type="http://schemas.openxmlformats.org/officeDocument/2006/relationships/hyperlink" Target="https://www.senado.gob.ar/parlamentario/comisiones/verExp/173.26/PE/AC" TargetMode="External"/><Relationship Id="rId224" Type="http://schemas.openxmlformats.org/officeDocument/2006/relationships/hyperlink" Target="https://www.senado.gob.ar/parlamentario/parlamentaria/ordenDelDiaResultadoLink/2026/67" TargetMode="External"/><Relationship Id="rId245" Type="http://schemas.openxmlformats.org/officeDocument/2006/relationships/hyperlink" Target="https://www.senado.gob.ar/parlamentario/parlamentaria/ordenDelDiaResultadoLink/2026/53" TargetMode="External"/><Relationship Id="rId266" Type="http://schemas.openxmlformats.org/officeDocument/2006/relationships/hyperlink" Target="https://www.senado.gob.ar/parlamentario/parlamentaria/ordenDelDiaResultadoLink/2026/47" TargetMode="External"/><Relationship Id="rId287" Type="http://schemas.openxmlformats.org/officeDocument/2006/relationships/hyperlink" Target="https://www.senado.gob.ar/parlamentario/parlamentaria/ordenDelDiaResultadoLink/2026/42" TargetMode="External"/><Relationship Id="rId30" Type="http://schemas.openxmlformats.org/officeDocument/2006/relationships/hyperlink" Target="https://www.senado.gob.ar/parlamentario/parlamentaria/ordenDelDiaResultadoLink/2026/214" TargetMode="External"/><Relationship Id="rId105" Type="http://schemas.openxmlformats.org/officeDocument/2006/relationships/hyperlink" Target="https://www.senado.gob.ar/parlamentario/comisiones/verExp/98.26/PE/PL" TargetMode="External"/><Relationship Id="rId126" Type="http://schemas.openxmlformats.org/officeDocument/2006/relationships/hyperlink" Target="https://www.senado.gob.ar/parlamentario/comisiones/verExp/88.26/PE/AC" TargetMode="External"/><Relationship Id="rId147" Type="http://schemas.openxmlformats.org/officeDocument/2006/relationships/hyperlink" Target="https://www.senado.gob.ar/parlamentario/comisiones/verExp/81.26/PE/AC" TargetMode="External"/><Relationship Id="rId168" Type="http://schemas.openxmlformats.org/officeDocument/2006/relationships/hyperlink" Target="https://www.senado.gob.ar/parlamentario/comisiones/verExp/74.26/PE/PL" TargetMode="External"/><Relationship Id="rId312" Type="http://schemas.openxmlformats.org/officeDocument/2006/relationships/hyperlink" Target="https://www.senado.gob.ar/parlamentario/comisiones/verExp/24.26/PE/AC" TargetMode="External"/><Relationship Id="rId333" Type="http://schemas.openxmlformats.org/officeDocument/2006/relationships/hyperlink" Target="https://www.senado.gob.ar/parlamentario/comisiones/verExp/17.26/PE/AC" TargetMode="External"/><Relationship Id="rId354" Type="http://schemas.openxmlformats.org/officeDocument/2006/relationships/hyperlink" Target="https://www.senado.gob.ar/parlamentario/comisiones/verExp/6.26/PE/AC" TargetMode="External"/><Relationship Id="rId51" Type="http://schemas.openxmlformats.org/officeDocument/2006/relationships/hyperlink" Target="https://www.senado.gob.ar/parlamentario/parlamentaria/ordenDelDiaResultadoLink/2026/206" TargetMode="External"/><Relationship Id="rId72" Type="http://schemas.openxmlformats.org/officeDocument/2006/relationships/hyperlink" Target="https://www.senado.gob.ar/parlamentario/parlamentaria/ordenDelDiaResultadoLink/2026/129" TargetMode="External"/><Relationship Id="rId93" Type="http://schemas.openxmlformats.org/officeDocument/2006/relationships/hyperlink" Target="https://www.senado.gob.ar/parlamentario/parlamentaria/ordenDelDiaResultadoLink/2026/105" TargetMode="External"/><Relationship Id="rId189" Type="http://schemas.openxmlformats.org/officeDocument/2006/relationships/hyperlink" Target="https://www.senado.gob.ar/parlamentario/comisiones/verExp/67.26/PE/AC" TargetMode="External"/><Relationship Id="rId3" Type="http://schemas.openxmlformats.org/officeDocument/2006/relationships/hyperlink" Target="https://www.senado.gob.ar/parlamentario/parlamentaria/ordenDelDiaResultadoLink/2026/152" TargetMode="External"/><Relationship Id="rId214" Type="http://schemas.openxmlformats.org/officeDocument/2006/relationships/hyperlink" Target="https://www.senado.gob.ar/parlamentario/comisiones/verExp/59.26/PE/AC" TargetMode="External"/><Relationship Id="rId235" Type="http://schemas.openxmlformats.org/officeDocument/2006/relationships/hyperlink" Target="https://www.senado.gob.ar/parlamentario/comisiones/verExp/52.26/PE/AC" TargetMode="External"/><Relationship Id="rId256" Type="http://schemas.openxmlformats.org/officeDocument/2006/relationships/hyperlink" Target="https://www.senado.gob.ar/parlamentario/comisiones/verExp/45.26/PE/AC" TargetMode="External"/><Relationship Id="rId277" Type="http://schemas.openxmlformats.org/officeDocument/2006/relationships/hyperlink" Target="https://www.senado.gob.ar/parlamentario/comisiones/verExp/38.26/PE/AC" TargetMode="External"/><Relationship Id="rId298" Type="http://schemas.openxmlformats.org/officeDocument/2006/relationships/hyperlink" Target="https://www.senado.gob.ar/parlamentario/comisiones/verExp/29.26/PE/AC" TargetMode="External"/><Relationship Id="rId116" Type="http://schemas.openxmlformats.org/officeDocument/2006/relationships/hyperlink" Target="https://www.senado.gob.ar/parlamentario/parlamentaria/ordenDelDiaResultadoLink/2026/19" TargetMode="External"/><Relationship Id="rId137" Type="http://schemas.openxmlformats.org/officeDocument/2006/relationships/hyperlink" Target="https://www.senado.gob.ar/parlamentario/parlamentaria/ordenDelDiaResultadoLink/2026/95" TargetMode="External"/><Relationship Id="rId158" Type="http://schemas.openxmlformats.org/officeDocument/2006/relationships/hyperlink" Target="https://www.senado.gob.ar/parlamentario/parlamentaria/ordenDelDiaResultadoLink/2026/83" TargetMode="External"/><Relationship Id="rId302" Type="http://schemas.openxmlformats.org/officeDocument/2006/relationships/hyperlink" Target="https://www.senado.gob.ar/parlamentario/parlamentaria/ordenDelDiaResultadoLink/2026/39" TargetMode="External"/><Relationship Id="rId323" Type="http://schemas.openxmlformats.org/officeDocument/2006/relationships/hyperlink" Target="https://www.senado.gob.ar/parlamentario/parlamentaria/ordenDelDiaResultadoLink/2026/34" TargetMode="External"/><Relationship Id="rId344" Type="http://schemas.openxmlformats.org/officeDocument/2006/relationships/hyperlink" Target="https://www.senado.gob.ar/parlamentario/parlamentaria/ordenDelDiaResultadoLink/2026/104" TargetMode="External"/><Relationship Id="rId20" Type="http://schemas.openxmlformats.org/officeDocument/2006/relationships/hyperlink" Target="https://www.senado.gob.ar/parlamentario/comisiones/verExp/173.26/PE/AC" TargetMode="External"/><Relationship Id="rId41" Type="http://schemas.openxmlformats.org/officeDocument/2006/relationships/hyperlink" Target="https://www.senado.gob.ar/parlamentario/comisiones/verExp/158.26/PE/AC" TargetMode="External"/><Relationship Id="rId62" Type="http://schemas.openxmlformats.org/officeDocument/2006/relationships/hyperlink" Target="https://www.senado.gob.ar/parlamentario/comisiones/verExp/145.26/PE/AC" TargetMode="External"/><Relationship Id="rId83" Type="http://schemas.openxmlformats.org/officeDocument/2006/relationships/hyperlink" Target="https://www.senado.gob.ar/parlamentario/comisiones/verExp/138.26/PE/AC" TargetMode="External"/><Relationship Id="rId179" Type="http://schemas.openxmlformats.org/officeDocument/2006/relationships/hyperlink" Target="https://www.senado.gob.ar/parlamentario/parlamentaria/ordenDelDiaResultadoLink/2026/80" TargetMode="External"/><Relationship Id="rId365" Type="http://schemas.openxmlformats.org/officeDocument/2006/relationships/hyperlink" Target="https://www.senado.gob.ar/parlamentario/parlamentaria/ordenDelDiaResultadoLink/2026/10" TargetMode="External"/><Relationship Id="rId190" Type="http://schemas.openxmlformats.org/officeDocument/2006/relationships/hyperlink" Target="https://www.senado.gob.ar/parlamentario/comisiones/verExp/67.26/PE/AC" TargetMode="External"/><Relationship Id="rId204" Type="http://schemas.openxmlformats.org/officeDocument/2006/relationships/hyperlink" Target="https://www.senado.gob.ar/parlamentario/comisiones/verExp/62.26/PE/AC" TargetMode="External"/><Relationship Id="rId225" Type="http://schemas.openxmlformats.org/officeDocument/2006/relationships/hyperlink" Target="https://www.senado.gob.ar/parlamentario/comisiones/verExp/55.26/PE/AC" TargetMode="External"/><Relationship Id="rId246" Type="http://schemas.openxmlformats.org/officeDocument/2006/relationships/hyperlink" Target="https://www.senado.gob.ar/parlamentario/comisiones/verExp/48.26/PE/AC" TargetMode="External"/><Relationship Id="rId267" Type="http://schemas.openxmlformats.org/officeDocument/2006/relationships/hyperlink" Target="https://www.senado.gob.ar/parlamentario/comisiones/verExp/41.26/PE/AC" TargetMode="External"/><Relationship Id="rId288" Type="http://schemas.openxmlformats.org/officeDocument/2006/relationships/hyperlink" Target="https://www.senado.gob.ar/parlamentario/comisiones/verExp/32.26/PE/AC" TargetMode="External"/><Relationship Id="rId106" Type="http://schemas.openxmlformats.org/officeDocument/2006/relationships/hyperlink" Target="https://www.senado.gob.ar/parlamentario/comisiones/verExp/98.26/PE/PL" TargetMode="External"/><Relationship Id="rId127" Type="http://schemas.openxmlformats.org/officeDocument/2006/relationships/hyperlink" Target="https://www.senado.gob.ar/parlamentario/comisiones/verExp/88.26/PE/AC" TargetMode="External"/><Relationship Id="rId313" Type="http://schemas.openxmlformats.org/officeDocument/2006/relationships/hyperlink" Target="https://www.senado.gob.ar/parlamentario/comisiones/verExp/24.26/PE/AC" TargetMode="External"/><Relationship Id="rId10" Type="http://schemas.openxmlformats.org/officeDocument/2006/relationships/hyperlink" Target="https://www.senado.gob.ar/parlamentario/comisiones/verExp/190.26/PE/AC" TargetMode="External"/><Relationship Id="rId31" Type="http://schemas.openxmlformats.org/officeDocument/2006/relationships/hyperlink" Target="https://www.senado.gob.ar/parlamentario/comisiones/verExp/161.26/PE/AC" TargetMode="External"/><Relationship Id="rId52" Type="http://schemas.openxmlformats.org/officeDocument/2006/relationships/hyperlink" Target="https://www.senado.gob.ar/parlamentario/comisiones/verExp/148.26/PE/AC" TargetMode="External"/><Relationship Id="rId73" Type="http://schemas.openxmlformats.org/officeDocument/2006/relationships/hyperlink" Target="https://www.senado.gob.ar/parlamentario/comisiones/verExp/141.26/PE/AC" TargetMode="External"/><Relationship Id="rId94" Type="http://schemas.openxmlformats.org/officeDocument/2006/relationships/hyperlink" Target="https://www.senado.gob.ar/parlamentario/comisiones/verExp/128.26/PE/AC" TargetMode="External"/><Relationship Id="rId148" Type="http://schemas.openxmlformats.org/officeDocument/2006/relationships/hyperlink" Target="https://www.senado.gob.ar/parlamentario/comisiones/verExp/81.26/PE/AC" TargetMode="External"/><Relationship Id="rId169" Type="http://schemas.openxmlformats.org/officeDocument/2006/relationships/hyperlink" Target="https://www.senado.gob.ar/parlamentario/comisiones/verExp/74.26/PE/PL" TargetMode="External"/><Relationship Id="rId334" Type="http://schemas.openxmlformats.org/officeDocument/2006/relationships/hyperlink" Target="https://www.senado.gob.ar/parlamentario/comisiones/verExp/17.26/PE/AC" TargetMode="External"/><Relationship Id="rId355" Type="http://schemas.openxmlformats.org/officeDocument/2006/relationships/hyperlink" Target="https://www.senado.gob.ar/parlamentario/comisiones/verExp/6.26/PE/AC" TargetMode="External"/><Relationship Id="rId4" Type="http://schemas.openxmlformats.org/officeDocument/2006/relationships/hyperlink" Target="https://www.senado.gob.ar/parlamentario/comisiones/verExp/562.26/S/PL" TargetMode="External"/><Relationship Id="rId180" Type="http://schemas.openxmlformats.org/officeDocument/2006/relationships/hyperlink" Target="https://www.senado.gob.ar/parlamentario/comisiones/verExp/70.26/PE/AC" TargetMode="External"/><Relationship Id="rId215" Type="http://schemas.openxmlformats.org/officeDocument/2006/relationships/hyperlink" Target="https://www.senado.gob.ar/parlamentario/parlamentaria/ordenDelDiaResultadoLink/2026/69" TargetMode="External"/><Relationship Id="rId236" Type="http://schemas.openxmlformats.org/officeDocument/2006/relationships/hyperlink" Target="https://www.senado.gob.ar/parlamentario/parlamentaria/ordenDelDiaResultadoLink/2026/64" TargetMode="External"/><Relationship Id="rId257" Type="http://schemas.openxmlformats.org/officeDocument/2006/relationships/hyperlink" Target="https://www.senado.gob.ar/parlamentario/parlamentaria/ordenDelDiaResultadoLink/2026/89" TargetMode="External"/><Relationship Id="rId278" Type="http://schemas.openxmlformats.org/officeDocument/2006/relationships/hyperlink" Target="https://www.senado.gob.ar/parlamentario/parlamentaria/ordenDelDiaResultadoLink/2026/43" TargetMode="External"/><Relationship Id="rId303" Type="http://schemas.openxmlformats.org/officeDocument/2006/relationships/hyperlink" Target="https://www.senado.gob.ar/parlamentario/comisiones/verExp/27.26/PE/AC" TargetMode="External"/><Relationship Id="rId42" Type="http://schemas.openxmlformats.org/officeDocument/2006/relationships/hyperlink" Target="https://www.senado.gob.ar/parlamentario/parlamentaria/ordenDelDiaResultadoLink/2026/210" TargetMode="External"/><Relationship Id="rId84" Type="http://schemas.openxmlformats.org/officeDocument/2006/relationships/hyperlink" Target="https://www.senado.gob.ar/parlamentario/parlamentaria/ordenDelDiaResultadoLink/2026/125" TargetMode="External"/><Relationship Id="rId138" Type="http://schemas.openxmlformats.org/officeDocument/2006/relationships/hyperlink" Target="https://www.senado.gob.ar/parlamentario/comisiones/verExp/84.26/PE/AC" TargetMode="External"/><Relationship Id="rId345" Type="http://schemas.openxmlformats.org/officeDocument/2006/relationships/hyperlink" Target="https://www.senado.gob.ar/parlamentario/comisiones/verExp/9.26/PE/AC" TargetMode="External"/><Relationship Id="rId191" Type="http://schemas.openxmlformats.org/officeDocument/2006/relationships/hyperlink" Target="https://www.senado.gob.ar/parlamentario/parlamentaria/ordenDelDiaResultadoLink/2026/76" TargetMode="External"/><Relationship Id="rId205" Type="http://schemas.openxmlformats.org/officeDocument/2006/relationships/hyperlink" Target="https://www.senado.gob.ar/parlamentario/comisiones/verExp/62.26/PE/AC" TargetMode="External"/><Relationship Id="rId247" Type="http://schemas.openxmlformats.org/officeDocument/2006/relationships/hyperlink" Target="https://www.senado.gob.ar/parlamentario/comisiones/verExp/48.26/PE/AC" TargetMode="External"/><Relationship Id="rId107" Type="http://schemas.openxmlformats.org/officeDocument/2006/relationships/hyperlink" Target="https://www.senado.gob.ar/parlamentario/parlamentaria/ordenDelDiaResultadoLink/2026/28" TargetMode="External"/><Relationship Id="rId289" Type="http://schemas.openxmlformats.org/officeDocument/2006/relationships/hyperlink" Target="https://www.senado.gob.ar/parlamentario/comisiones/verExp/32.26/PE/AC" TargetMode="External"/><Relationship Id="rId11" Type="http://schemas.openxmlformats.org/officeDocument/2006/relationships/hyperlink" Target="https://www.senado.gob.ar/parlamentario/comisiones/verExp/190.26/PE/AC" TargetMode="External"/><Relationship Id="rId53" Type="http://schemas.openxmlformats.org/officeDocument/2006/relationships/hyperlink" Target="https://www.senado.gob.ar/parlamentario/comisiones/verExp/148.26/PE/AC" TargetMode="External"/><Relationship Id="rId149" Type="http://schemas.openxmlformats.org/officeDocument/2006/relationships/hyperlink" Target="https://www.senado.gob.ar/parlamentario/parlamentaria/ordenDelDiaResultadoLink/2026/84" TargetMode="External"/><Relationship Id="rId314" Type="http://schemas.openxmlformats.org/officeDocument/2006/relationships/hyperlink" Target="https://www.senado.gob.ar/parlamentario/parlamentaria/ordenDelDiaResultadoLink/2026/60" TargetMode="External"/><Relationship Id="rId356" Type="http://schemas.openxmlformats.org/officeDocument/2006/relationships/hyperlink" Target="https://www.senado.gob.ar/parlamentario/parlamentaria/ordenDelDiaResultadoLink/2026/13" TargetMode="External"/><Relationship Id="rId95" Type="http://schemas.openxmlformats.org/officeDocument/2006/relationships/hyperlink" Target="https://www.senado.gob.ar/parlamentario/comisiones/verExp/128.26/PE/AC" TargetMode="External"/><Relationship Id="rId160" Type="http://schemas.openxmlformats.org/officeDocument/2006/relationships/hyperlink" Target="https://www.senado.gob.ar/parlamentario/comisiones/verExp/77.26/PE/AC" TargetMode="External"/><Relationship Id="rId216" Type="http://schemas.openxmlformats.org/officeDocument/2006/relationships/hyperlink" Target="https://www.senado.gob.ar/parlamentario/comisiones/verExp/58.26/PE/AC" TargetMode="External"/><Relationship Id="rId258" Type="http://schemas.openxmlformats.org/officeDocument/2006/relationships/hyperlink" Target="https://www.senado.gob.ar/parlamentario/comisiones/verExp/44.26/PE/AC" TargetMode="External"/><Relationship Id="rId22" Type="http://schemas.openxmlformats.org/officeDocument/2006/relationships/hyperlink" Target="https://www.senado.gob.ar/parlamentario/comisiones/verExp/169.26/PE/CE" TargetMode="External"/><Relationship Id="rId64" Type="http://schemas.openxmlformats.org/officeDocument/2006/relationships/hyperlink" Target="https://www.senado.gob.ar/parlamentario/comisiones/verExp/144.26/PE/AC" TargetMode="External"/><Relationship Id="rId118" Type="http://schemas.openxmlformats.org/officeDocument/2006/relationships/hyperlink" Target="https://www.senado.gob.ar/parlamentario/comisiones/verExp/93.26/PE/AC" TargetMode="External"/><Relationship Id="rId325" Type="http://schemas.openxmlformats.org/officeDocument/2006/relationships/hyperlink" Target="https://www.senado.gob.ar/parlamentario/comisiones/verExp/20.26/PE/AC" TargetMode="External"/><Relationship Id="rId367" Type="http://schemas.openxmlformats.org/officeDocument/2006/relationships/hyperlink" Target="https://www.senado.gob.ar/parlamentario/comisiones/verExp/2.26/PE/AC" TargetMode="External"/><Relationship Id="rId171" Type="http://schemas.openxmlformats.org/officeDocument/2006/relationships/hyperlink" Target="https://www.senado.gob.ar/parlamentario/comisiones/verExp/73.26/PE/AC" TargetMode="External"/><Relationship Id="rId227" Type="http://schemas.openxmlformats.org/officeDocument/2006/relationships/hyperlink" Target="https://www.senado.gob.ar/parlamentario/parlamentaria/ordenDelDiaResultadoLink/2026/56" TargetMode="External"/><Relationship Id="rId269" Type="http://schemas.openxmlformats.org/officeDocument/2006/relationships/hyperlink" Target="https://www.senado.gob.ar/parlamentario/parlamentaria/ordenDelDiaResultadoLink/2026/46" TargetMode="External"/><Relationship Id="rId33" Type="http://schemas.openxmlformats.org/officeDocument/2006/relationships/hyperlink" Target="https://www.senado.gob.ar/parlamentario/parlamentaria/ordenDelDiaResultadoLink/2026/213" TargetMode="External"/><Relationship Id="rId129" Type="http://schemas.openxmlformats.org/officeDocument/2006/relationships/hyperlink" Target="https://www.senado.gob.ar/parlamentario/comisiones/verExp/87.26/PE/AC" TargetMode="External"/><Relationship Id="rId280" Type="http://schemas.openxmlformats.org/officeDocument/2006/relationships/hyperlink" Target="https://www.senado.gob.ar/parlamentario/comisiones/verExp/36.26/PE/AC" TargetMode="External"/><Relationship Id="rId336" Type="http://schemas.openxmlformats.org/officeDocument/2006/relationships/hyperlink" Target="https://www.senado.gob.ar/parlamentario/comisiones/verExp/16.26/PE/AC" TargetMode="External"/><Relationship Id="rId75" Type="http://schemas.openxmlformats.org/officeDocument/2006/relationships/hyperlink" Target="https://www.senado.gob.ar/parlamentario/parlamentaria/ordenDelDiaResultadoLink/2026/128" TargetMode="External"/><Relationship Id="rId140" Type="http://schemas.openxmlformats.org/officeDocument/2006/relationships/hyperlink" Target="https://www.senado.gob.ar/parlamentario/parlamentaria/ordenDelDiaResultadoLink/2026/87" TargetMode="External"/><Relationship Id="rId182" Type="http://schemas.openxmlformats.org/officeDocument/2006/relationships/hyperlink" Target="https://www.senado.gob.ar/parlamentario/parlamentaria/ordenDelDiaResultadoLink/2026/79" TargetMode="External"/><Relationship Id="rId6" Type="http://schemas.openxmlformats.org/officeDocument/2006/relationships/hyperlink" Target="https://www.senado.gob.ar/parlamentario/parlamentaria/ordenDelDiaResultadoLink/2026/105" TargetMode="External"/><Relationship Id="rId238" Type="http://schemas.openxmlformats.org/officeDocument/2006/relationships/hyperlink" Target="https://www.senado.gob.ar/parlamentario/comisiones/verExp/51.26/PE/AC" TargetMode="External"/><Relationship Id="rId291" Type="http://schemas.openxmlformats.org/officeDocument/2006/relationships/hyperlink" Target="https://www.senado.gob.ar/parlamentario/comisiones/verExp/31.26/PE/AC" TargetMode="External"/><Relationship Id="rId305" Type="http://schemas.openxmlformats.org/officeDocument/2006/relationships/hyperlink" Target="https://www.senado.gob.ar/parlamentario/parlamentaria/ordenDelDiaResultadoLink/2026/61" TargetMode="External"/><Relationship Id="rId347" Type="http://schemas.openxmlformats.org/officeDocument/2006/relationships/hyperlink" Target="https://www.senado.gob.ar/parlamentario/parlamentaria/ordenDelDiaResultadoLink/2026/15" TargetMode="External"/><Relationship Id="rId44" Type="http://schemas.openxmlformats.org/officeDocument/2006/relationships/hyperlink" Target="https://www.senado.gob.ar/parlamentario/comisiones/verExp/153.26/PE/AC" TargetMode="External"/><Relationship Id="rId86" Type="http://schemas.openxmlformats.org/officeDocument/2006/relationships/hyperlink" Target="https://www.senado.gob.ar/parlamentario/comisiones/verExp/137.26/PE/AC" TargetMode="External"/><Relationship Id="rId151" Type="http://schemas.openxmlformats.org/officeDocument/2006/relationships/hyperlink" Target="https://www.senado.gob.ar/parlamentario/comisiones/verExp/80.26/PE/AC" TargetMode="External"/><Relationship Id="rId193" Type="http://schemas.openxmlformats.org/officeDocument/2006/relationships/hyperlink" Target="https://www.senado.gob.ar/parlamentario/comisiones/verExp/66.26/PE/AC" TargetMode="External"/><Relationship Id="rId207" Type="http://schemas.openxmlformats.org/officeDocument/2006/relationships/hyperlink" Target="https://www.senado.gob.ar/parlamentario/comisiones/verExp/61.26/PE/AC" TargetMode="External"/><Relationship Id="rId249" Type="http://schemas.openxmlformats.org/officeDocument/2006/relationships/hyperlink" Target="https://www.senado.gob.ar/parlamentario/comisiones/verExp/47.26/PE/AC" TargetMode="External"/><Relationship Id="rId13" Type="http://schemas.openxmlformats.org/officeDocument/2006/relationships/hyperlink" Target="https://www.senado.gob.ar/parlamentario/comisiones/verExp/188.26/PE/AC" TargetMode="External"/><Relationship Id="rId109" Type="http://schemas.openxmlformats.org/officeDocument/2006/relationships/hyperlink" Target="https://www.senado.gob.ar/parlamentario/comisiones/verExp/96.26/S/PL" TargetMode="External"/><Relationship Id="rId260" Type="http://schemas.openxmlformats.org/officeDocument/2006/relationships/hyperlink" Target="https://www.senado.gob.ar/parlamentario/parlamentaria/ordenDelDiaResultadoLink/2026/49" TargetMode="External"/><Relationship Id="rId316" Type="http://schemas.openxmlformats.org/officeDocument/2006/relationships/hyperlink" Target="https://www.senado.gob.ar/parlamentario/comisiones/verExp/23.26/PE/AC" TargetMode="External"/><Relationship Id="rId55" Type="http://schemas.openxmlformats.org/officeDocument/2006/relationships/hyperlink" Target="https://www.senado.gob.ar/parlamentario/comisiones/verExp/147.26/PE/AC" TargetMode="External"/><Relationship Id="rId97" Type="http://schemas.openxmlformats.org/officeDocument/2006/relationships/hyperlink" Target="https://www.senado.gob.ar/parlamentario/comisiones/verExp/121.26/PE/AC" TargetMode="External"/><Relationship Id="rId120" Type="http://schemas.openxmlformats.org/officeDocument/2006/relationships/hyperlink" Target="https://www.senado.gob.ar/parlamentario/comisiones/verExp/92.26/PE/AC" TargetMode="External"/><Relationship Id="rId358" Type="http://schemas.openxmlformats.org/officeDocument/2006/relationships/hyperlink" Target="https://www.senado.gob.ar/parlamentario/comisiones/verExp/5.26/PE/AC" TargetMode="External"/><Relationship Id="rId162" Type="http://schemas.openxmlformats.org/officeDocument/2006/relationships/hyperlink" Target="https://www.senado.gob.ar/parlamentario/comisiones/verExp/76.26/PE/AC" TargetMode="External"/><Relationship Id="rId218" Type="http://schemas.openxmlformats.org/officeDocument/2006/relationships/hyperlink" Target="https://www.senado.gob.ar/parlamentario/parlamentaria/ordenDelDiaResultadoLink/2026/90" TargetMode="External"/><Relationship Id="rId271" Type="http://schemas.openxmlformats.org/officeDocument/2006/relationships/hyperlink" Target="https://www.senado.gob.ar/parlamentario/comisiones/verExp/40.26/PE/AC" TargetMode="External"/><Relationship Id="rId24" Type="http://schemas.openxmlformats.org/officeDocument/2006/relationships/hyperlink" Target="https://www.senado.gob.ar/parlamentario/parlamentaria/ordenDelDiaResultadoLink/2026/102" TargetMode="External"/><Relationship Id="rId66" Type="http://schemas.openxmlformats.org/officeDocument/2006/relationships/hyperlink" Target="https://www.senado.gob.ar/parlamentario/parlamentaria/ordenDelDiaResultadoLink/2026/201" TargetMode="External"/><Relationship Id="rId131" Type="http://schemas.openxmlformats.org/officeDocument/2006/relationships/hyperlink" Target="https://www.senado.gob.ar/parlamentario/parlamentaria/ordenDelDiaResultadoLink/2026/97" TargetMode="External"/><Relationship Id="rId327" Type="http://schemas.openxmlformats.org/officeDocument/2006/relationships/hyperlink" Target="https://www.senado.gob.ar/parlamentario/comisiones/verExp/19.26/PE/AC" TargetMode="External"/><Relationship Id="rId173" Type="http://schemas.openxmlformats.org/officeDocument/2006/relationships/hyperlink" Target="https://www.senado.gob.ar/parlamentario/parlamentaria/ordenDelDiaResultadoLink/2026/57" TargetMode="External"/><Relationship Id="rId229" Type="http://schemas.openxmlformats.org/officeDocument/2006/relationships/hyperlink" Target="https://www.senado.gob.ar/parlamentario/comisiones/verExp/54.26/PE/AC" TargetMode="External"/><Relationship Id="rId240" Type="http://schemas.openxmlformats.org/officeDocument/2006/relationships/hyperlink" Target="https://www.senado.gob.ar/parlamentario/comisiones/verExp/50.26/PE/AC" TargetMode="External"/><Relationship Id="rId35" Type="http://schemas.openxmlformats.org/officeDocument/2006/relationships/hyperlink" Target="https://www.senado.gob.ar/parlamentario/comisiones/verExp/160.26/PE/AC" TargetMode="External"/><Relationship Id="rId77" Type="http://schemas.openxmlformats.org/officeDocument/2006/relationships/hyperlink" Target="https://www.senado.gob.ar/parlamentario/comisiones/verExp/140.26/PE/AC" TargetMode="External"/><Relationship Id="rId100" Type="http://schemas.openxmlformats.org/officeDocument/2006/relationships/hyperlink" Target="https://www.senado.gob.ar/parlamentario/comisiones/verExp/112.26/S/PR" TargetMode="External"/><Relationship Id="rId282" Type="http://schemas.openxmlformats.org/officeDocument/2006/relationships/hyperlink" Target="https://www.senado.gob.ar/parlamentario/comisiones/verExp/34.26/PE/AC" TargetMode="External"/><Relationship Id="rId338" Type="http://schemas.openxmlformats.org/officeDocument/2006/relationships/hyperlink" Target="https://www.senado.gob.ar/parlamentario/parlamentaria/ordenDelDiaResultadoLink/2026/59" TargetMode="External"/><Relationship Id="rId8" Type="http://schemas.openxmlformats.org/officeDocument/2006/relationships/hyperlink" Target="https://www.senado.gob.ar/parlamentario/comisiones/verExp/320.26/S/PL" TargetMode="External"/><Relationship Id="rId142" Type="http://schemas.openxmlformats.org/officeDocument/2006/relationships/hyperlink" Target="https://www.senado.gob.ar/parlamentario/comisiones/verExp/83.26/PE/AC" TargetMode="External"/><Relationship Id="rId184" Type="http://schemas.openxmlformats.org/officeDocument/2006/relationships/hyperlink" Target="https://www.senado.gob.ar/parlamentario/comisiones/verExp/69.26/PE/AC" TargetMode="External"/><Relationship Id="rId251" Type="http://schemas.openxmlformats.org/officeDocument/2006/relationships/hyperlink" Target="https://www.senado.gob.ar/parlamentario/parlamentaria/ordenDelDiaResultadoLink/2026/51" TargetMode="External"/><Relationship Id="rId46" Type="http://schemas.openxmlformats.org/officeDocument/2006/relationships/hyperlink" Target="https://www.senado.gob.ar/parlamentario/comisiones/verExp/152.26/PE/AC" TargetMode="External"/><Relationship Id="rId293" Type="http://schemas.openxmlformats.org/officeDocument/2006/relationships/hyperlink" Target="https://www.senado.gob.ar/parlamentario/parlamentaria/ordenDelDiaResultadoLink/2026/112" TargetMode="External"/><Relationship Id="rId307" Type="http://schemas.openxmlformats.org/officeDocument/2006/relationships/hyperlink" Target="https://www.senado.gob.ar/parlamentario/comisiones/verExp/26.26/PE/AC" TargetMode="External"/><Relationship Id="rId349" Type="http://schemas.openxmlformats.org/officeDocument/2006/relationships/hyperlink" Target="https://www.senado.gob.ar/parlamentario/comisiones/verExp/8.26/PE/PL" TargetMode="External"/><Relationship Id="rId88" Type="http://schemas.openxmlformats.org/officeDocument/2006/relationships/hyperlink" Target="https://www.senado.gob.ar/parlamentario/comisiones/verExp/136.26/PE/AC" TargetMode="External"/><Relationship Id="rId111" Type="http://schemas.openxmlformats.org/officeDocument/2006/relationships/hyperlink" Target="https://www.senado.gob.ar/parlamentario/comisiones/verExp/95.26/PE/PL" TargetMode="External"/><Relationship Id="rId153" Type="http://schemas.openxmlformats.org/officeDocument/2006/relationships/hyperlink" Target="https://www.senado.gob.ar/parlamentario/comisiones/verExp/79.26/PE/AC" TargetMode="External"/><Relationship Id="rId195" Type="http://schemas.openxmlformats.org/officeDocument/2006/relationships/hyperlink" Target="https://www.senado.gob.ar/parlamentario/comisiones/verExp/65.26/PE/AC" TargetMode="External"/><Relationship Id="rId209" Type="http://schemas.openxmlformats.org/officeDocument/2006/relationships/hyperlink" Target="https://www.senado.gob.ar/parlamentario/parlamentaria/ordenDelDiaResultadoLink/2026/71" TargetMode="External"/><Relationship Id="rId360" Type="http://schemas.openxmlformats.org/officeDocument/2006/relationships/hyperlink" Target="https://www.senado.gob.ar/parlamentario/comisiones/verExp/4.26/PE/A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29"/>
  <sheetViews>
    <sheetView tabSelected="1" workbookViewId="0">
      <selection activeCell="AM5" sqref="AM5"/>
    </sheetView>
  </sheetViews>
  <sheetFormatPr baseColWidth="10" defaultRowHeight="15" x14ac:dyDescent="0.25"/>
  <cols>
    <col min="1" max="26" width="40" customWidth="1"/>
    <col min="27" max="256" width="9.140625" customWidth="1"/>
  </cols>
  <sheetData>
    <row r="1" spans="1:39" x14ac:dyDescent="0.25">
      <c r="D1" s="2" t="s">
        <v>0</v>
      </c>
    </row>
    <row r="2" spans="1:39" x14ac:dyDescent="0.25">
      <c r="D2" s="3" t="s">
        <v>1</v>
      </c>
    </row>
    <row r="3" spans="1:39" x14ac:dyDescent="0.25">
      <c r="D3" s="4" t="s">
        <v>2</v>
      </c>
    </row>
    <row r="5" spans="1:39" x14ac:dyDescent="0.25">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1" t="s">
        <v>38</v>
      </c>
      <c r="AK5" s="1" t="s">
        <v>39</v>
      </c>
      <c r="AL5" s="1" t="s">
        <v>40</v>
      </c>
      <c r="AM5" s="1" t="s">
        <v>41</v>
      </c>
    </row>
    <row r="7" spans="1:39" x14ac:dyDescent="0.25">
      <c r="A7" t="s">
        <v>42</v>
      </c>
      <c r="B7" t="str">
        <f>HYPERLINK("https://www.senado.gob.ar/parlamentario/comisiones/verExp/564.26/S/PL","564")</f>
        <v>564</v>
      </c>
      <c r="C7" t="str">
        <f>HYPERLINK("https://www.senado.gob.ar/parlamentario/comisiones/verExp/564.26/S/PL","2026")</f>
        <v>2026</v>
      </c>
      <c r="D7" t="s">
        <v>43</v>
      </c>
      <c r="E7" t="s">
        <v>44</v>
      </c>
      <c r="F7" t="s">
        <v>45</v>
      </c>
      <c r="I7" t="s">
        <v>46</v>
      </c>
      <c r="K7" t="s">
        <v>47</v>
      </c>
      <c r="L7" t="s">
        <v>48</v>
      </c>
      <c r="N7" t="s">
        <v>49</v>
      </c>
      <c r="O7">
        <v>75</v>
      </c>
      <c r="P7" t="s">
        <v>50</v>
      </c>
      <c r="Q7" t="s">
        <v>51</v>
      </c>
      <c r="R7" t="s">
        <v>52</v>
      </c>
      <c r="AI7" t="str">
        <f>HYPERLINK("https://www.senado.gob.ar/parlamentario/parlamentaria/ordenDelDiaResultadoLink/2026/152"," 152 2026 AP -")</f>
        <v xml:space="preserve"> 152 2026 AP -</v>
      </c>
      <c r="AJ7" t="s">
        <v>53</v>
      </c>
      <c r="AK7" t="s">
        <v>54</v>
      </c>
    </row>
    <row r="8" spans="1:39" x14ac:dyDescent="0.25">
      <c r="A8" t="s">
        <v>42</v>
      </c>
      <c r="B8" t="str">
        <f>HYPERLINK("https://www.senado.gob.ar/parlamentario/comisiones/verExp/562.26/S/PL","562")</f>
        <v>562</v>
      </c>
      <c r="C8" t="str">
        <f>HYPERLINK("https://www.senado.gob.ar/parlamentario/comisiones/verExp/562.26/S/PL","2026")</f>
        <v>2026</v>
      </c>
      <c r="D8" t="s">
        <v>43</v>
      </c>
      <c r="E8" t="s">
        <v>55</v>
      </c>
      <c r="F8" t="s">
        <v>45</v>
      </c>
      <c r="I8" t="s">
        <v>46</v>
      </c>
      <c r="K8" t="s">
        <v>56</v>
      </c>
      <c r="L8" t="s">
        <v>48</v>
      </c>
      <c r="N8" t="s">
        <v>49</v>
      </c>
      <c r="O8">
        <v>52</v>
      </c>
      <c r="P8" t="s">
        <v>57</v>
      </c>
      <c r="Q8" t="s">
        <v>51</v>
      </c>
      <c r="R8" t="s">
        <v>58</v>
      </c>
      <c r="S8">
        <v>54</v>
      </c>
      <c r="T8" t="s">
        <v>59</v>
      </c>
      <c r="U8" t="s">
        <v>51</v>
      </c>
      <c r="V8" t="s">
        <v>58</v>
      </c>
      <c r="AI8" t="str">
        <f>HYPERLINK("https://www.senado.gob.ar/parlamentario/parlamentaria/ordenDelDiaResultadoLink/2026/105"," 105 2026 AP -")</f>
        <v xml:space="preserve"> 105 2026 AP -</v>
      </c>
      <c r="AJ8" t="s">
        <v>60</v>
      </c>
      <c r="AK8" t="s">
        <v>54</v>
      </c>
    </row>
    <row r="9" spans="1:39" x14ac:dyDescent="0.25">
      <c r="A9" t="s">
        <v>42</v>
      </c>
      <c r="B9" t="str">
        <f>HYPERLINK("https://www.senado.gob.ar/parlamentario/comisiones/verExp/320.26/S/PL","320")</f>
        <v>320</v>
      </c>
      <c r="C9" t="str">
        <f>HYPERLINK("https://www.senado.gob.ar/parlamentario/comisiones/verExp/320.26/S/PL","2026")</f>
        <v>2026</v>
      </c>
      <c r="D9" t="s">
        <v>43</v>
      </c>
      <c r="E9" t="s">
        <v>61</v>
      </c>
      <c r="F9" t="s">
        <v>62</v>
      </c>
      <c r="I9" t="s">
        <v>63</v>
      </c>
      <c r="K9" t="s">
        <v>47</v>
      </c>
      <c r="L9" t="s">
        <v>64</v>
      </c>
      <c r="N9" t="s">
        <v>65</v>
      </c>
      <c r="O9">
        <v>75</v>
      </c>
      <c r="P9" t="s">
        <v>50</v>
      </c>
      <c r="Q9" t="s">
        <v>66</v>
      </c>
      <c r="R9" t="s">
        <v>52</v>
      </c>
      <c r="AI9" t="str">
        <f>HYPERLINK("https://www.senado.gob.ar/parlamentario/parlamentaria/ordenDelDiaResultadoLink/2026/152"," 152 2026 AP -")</f>
        <v xml:space="preserve"> 152 2026 AP -</v>
      </c>
      <c r="AJ9" t="s">
        <v>53</v>
      </c>
      <c r="AK9" t="s">
        <v>54</v>
      </c>
    </row>
    <row r="10" spans="1:39" x14ac:dyDescent="0.25">
      <c r="A10" t="s">
        <v>67</v>
      </c>
      <c r="B10" t="str">
        <f>HYPERLINK("https://www.senado.gob.ar/parlamentario/comisiones/verExp/190.26/PE/AC","190")</f>
        <v>190</v>
      </c>
      <c r="C10" t="str">
        <f>HYPERLINK("https://www.senado.gob.ar/parlamentario/comisiones/verExp/190.26/PE/AC","2026")</f>
        <v>2026</v>
      </c>
      <c r="D10" t="s">
        <v>68</v>
      </c>
      <c r="E10" t="s">
        <v>69</v>
      </c>
      <c r="F10" t="s">
        <v>70</v>
      </c>
      <c r="H10" t="s">
        <v>71</v>
      </c>
      <c r="I10" t="s">
        <v>72</v>
      </c>
      <c r="K10" t="s">
        <v>73</v>
      </c>
      <c r="L10" t="s">
        <v>74</v>
      </c>
      <c r="O10">
        <v>71</v>
      </c>
      <c r="P10" t="s">
        <v>75</v>
      </c>
      <c r="Q10" t="s">
        <v>76</v>
      </c>
      <c r="R10" t="s">
        <v>77</v>
      </c>
      <c r="AI10" t="str">
        <f>HYPERLINK("https://www.senado.gob.ar/parlamentario/parlamentaria/ordenDelDiaResultadoLink/2026/219"," 219 2026 AP -")</f>
        <v xml:space="preserve"> 219 2026 AP -</v>
      </c>
      <c r="AJ10" t="s">
        <v>53</v>
      </c>
      <c r="AK10" t="s">
        <v>54</v>
      </c>
      <c r="AM10" t="s">
        <v>71</v>
      </c>
    </row>
    <row r="11" spans="1:39" x14ac:dyDescent="0.25">
      <c r="A11" t="s">
        <v>67</v>
      </c>
      <c r="B11" t="str">
        <f>HYPERLINK("https://www.senado.gob.ar/parlamentario/comisiones/verExp/188.26/PE/AC","188")</f>
        <v>188</v>
      </c>
      <c r="C11" t="str">
        <f>HYPERLINK("https://www.senado.gob.ar/parlamentario/comisiones/verExp/188.26/PE/AC","2026")</f>
        <v>2026</v>
      </c>
      <c r="D11" t="s">
        <v>68</v>
      </c>
      <c r="E11" t="s">
        <v>78</v>
      </c>
      <c r="F11" t="s">
        <v>70</v>
      </c>
      <c r="H11" t="s">
        <v>71</v>
      </c>
      <c r="I11" t="s">
        <v>72</v>
      </c>
      <c r="K11" t="s">
        <v>73</v>
      </c>
      <c r="L11" t="s">
        <v>74</v>
      </c>
      <c r="O11">
        <v>71</v>
      </c>
      <c r="P11" t="s">
        <v>75</v>
      </c>
      <c r="Q11" t="s">
        <v>76</v>
      </c>
      <c r="R11" t="s">
        <v>77</v>
      </c>
      <c r="AI11" t="str">
        <f>HYPERLINK("https://www.senado.gob.ar/parlamentario/parlamentaria/ordenDelDiaResultadoLink/2026/218"," 218 2026 AP -")</f>
        <v xml:space="preserve"> 218 2026 AP -</v>
      </c>
      <c r="AJ11" t="s">
        <v>53</v>
      </c>
      <c r="AK11" t="s">
        <v>54</v>
      </c>
      <c r="AM11" t="s">
        <v>71</v>
      </c>
    </row>
    <row r="12" spans="1:39" x14ac:dyDescent="0.25">
      <c r="A12" t="s">
        <v>67</v>
      </c>
      <c r="B12" t="str">
        <f>HYPERLINK("https://www.senado.gob.ar/parlamentario/comisiones/verExp/183.26/PE/AC","183")</f>
        <v>183</v>
      </c>
      <c r="C12" t="str">
        <f>HYPERLINK("https://www.senado.gob.ar/parlamentario/comisiones/verExp/183.26/PE/AC","2026")</f>
        <v>2026</v>
      </c>
      <c r="D12" t="s">
        <v>68</v>
      </c>
      <c r="E12" t="s">
        <v>79</v>
      </c>
      <c r="F12" t="s">
        <v>80</v>
      </c>
      <c r="H12" t="s">
        <v>71</v>
      </c>
      <c r="I12" t="s">
        <v>81</v>
      </c>
      <c r="K12" t="s">
        <v>73</v>
      </c>
      <c r="L12" t="s">
        <v>81</v>
      </c>
      <c r="O12">
        <v>71</v>
      </c>
      <c r="P12" t="s">
        <v>75</v>
      </c>
      <c r="Q12" t="s">
        <v>82</v>
      </c>
      <c r="R12" t="s">
        <v>77</v>
      </c>
      <c r="AI12" t="str">
        <f>HYPERLINK("https://www.senado.gob.ar/parlamentario/parlamentaria/ordenDelDiaResultadoLink/2026/217"," 217 2026 AP -")</f>
        <v xml:space="preserve"> 217 2026 AP -</v>
      </c>
      <c r="AJ12" t="s">
        <v>53</v>
      </c>
      <c r="AK12" t="s">
        <v>54</v>
      </c>
      <c r="AM12" t="s">
        <v>71</v>
      </c>
    </row>
    <row r="13" spans="1:39" x14ac:dyDescent="0.25">
      <c r="A13" t="s">
        <v>67</v>
      </c>
      <c r="B13" t="str">
        <f>HYPERLINK("https://www.senado.gob.ar/parlamentario/comisiones/verExp/173.26/PE/AC","173")</f>
        <v>173</v>
      </c>
      <c r="C13" t="str">
        <f>HYPERLINK("https://www.senado.gob.ar/parlamentario/comisiones/verExp/173.26/PE/AC","2026")</f>
        <v>2026</v>
      </c>
      <c r="D13" t="s">
        <v>68</v>
      </c>
      <c r="E13" t="s">
        <v>83</v>
      </c>
      <c r="F13" t="s">
        <v>84</v>
      </c>
      <c r="H13" t="s">
        <v>71</v>
      </c>
      <c r="I13" t="s">
        <v>85</v>
      </c>
      <c r="K13" t="s">
        <v>73</v>
      </c>
      <c r="L13" t="s">
        <v>85</v>
      </c>
      <c r="O13">
        <v>71</v>
      </c>
      <c r="P13" t="s">
        <v>75</v>
      </c>
      <c r="Q13" t="s">
        <v>86</v>
      </c>
      <c r="R13" t="s">
        <v>77</v>
      </c>
      <c r="AI13" t="str">
        <f>HYPERLINK("https://www.senado.gob.ar/parlamentario/parlamentaria/ordenDelDiaResultadoLink/2026/216"," 216 2026 AP -")</f>
        <v xml:space="preserve"> 216 2026 AP -</v>
      </c>
      <c r="AJ13" t="s">
        <v>53</v>
      </c>
      <c r="AK13" t="s">
        <v>54</v>
      </c>
      <c r="AM13" t="s">
        <v>71</v>
      </c>
    </row>
    <row r="14" spans="1:39" x14ac:dyDescent="0.25">
      <c r="A14" t="s">
        <v>67</v>
      </c>
      <c r="B14" t="str">
        <f>HYPERLINK("https://www.senado.gob.ar/parlamentario/comisiones/verExp/169.26/PE/CE","169")</f>
        <v>169</v>
      </c>
      <c r="C14" t="str">
        <f>HYPERLINK("https://www.senado.gob.ar/parlamentario/comisiones/verExp/169.26/PE/CE","2026")</f>
        <v>2026</v>
      </c>
      <c r="D14" t="s">
        <v>87</v>
      </c>
      <c r="E14" t="s">
        <v>88</v>
      </c>
      <c r="F14" t="s">
        <v>89</v>
      </c>
      <c r="I14" t="s">
        <v>90</v>
      </c>
      <c r="K14" t="s">
        <v>91</v>
      </c>
      <c r="L14" t="s">
        <v>92</v>
      </c>
      <c r="O14">
        <v>54</v>
      </c>
      <c r="P14" t="s">
        <v>59</v>
      </c>
      <c r="Q14" t="s">
        <v>86</v>
      </c>
      <c r="R14" t="s">
        <v>82</v>
      </c>
      <c r="S14">
        <v>58</v>
      </c>
      <c r="T14" t="s">
        <v>93</v>
      </c>
      <c r="U14" t="s">
        <v>86</v>
      </c>
      <c r="V14" t="s">
        <v>82</v>
      </c>
      <c r="AI14" t="str">
        <f>HYPERLINK("https://www.senado.gob.ar/parlamentario/parlamentaria/ordenDelDiaResultadoLink/2026/102"," 102 2026 AP -")</f>
        <v xml:space="preserve"> 102 2026 AP -</v>
      </c>
      <c r="AJ14" t="s">
        <v>94</v>
      </c>
      <c r="AK14" t="s">
        <v>95</v>
      </c>
    </row>
    <row r="15" spans="1:39" x14ac:dyDescent="0.25">
      <c r="A15" t="s">
        <v>67</v>
      </c>
      <c r="B15" t="str">
        <f>HYPERLINK("https://www.senado.gob.ar/parlamentario/comisiones/verExp/168.26/PE/AC","168")</f>
        <v>168</v>
      </c>
      <c r="C15" t="str">
        <f>HYPERLINK("https://www.senado.gob.ar/parlamentario/comisiones/verExp/168.26/PE/AC","2026")</f>
        <v>2026</v>
      </c>
      <c r="D15" t="s">
        <v>68</v>
      </c>
      <c r="E15" t="s">
        <v>96</v>
      </c>
      <c r="F15" t="s">
        <v>62</v>
      </c>
      <c r="H15" t="s">
        <v>71</v>
      </c>
      <c r="I15" t="s">
        <v>97</v>
      </c>
      <c r="K15" t="s">
        <v>73</v>
      </c>
      <c r="L15" t="s">
        <v>97</v>
      </c>
      <c r="O15">
        <v>71</v>
      </c>
      <c r="P15" t="s">
        <v>75</v>
      </c>
      <c r="Q15" t="s">
        <v>98</v>
      </c>
      <c r="R15" t="s">
        <v>77</v>
      </c>
      <c r="AI15" t="str">
        <f>HYPERLINK("https://www.senado.gob.ar/parlamentario/parlamentaria/ordenDelDiaResultadoLink/2026/215"," 215 2026 AP -")</f>
        <v xml:space="preserve"> 215 2026 AP -</v>
      </c>
      <c r="AJ15" t="s">
        <v>53</v>
      </c>
      <c r="AK15" t="s">
        <v>54</v>
      </c>
      <c r="AM15" t="s">
        <v>71</v>
      </c>
    </row>
    <row r="16" spans="1:39" x14ac:dyDescent="0.25">
      <c r="A16" t="s">
        <v>67</v>
      </c>
      <c r="B16" t="str">
        <f>HYPERLINK("https://www.senado.gob.ar/parlamentario/comisiones/verExp/163.26/PE/AC","163")</f>
        <v>163</v>
      </c>
      <c r="C16" t="str">
        <f>HYPERLINK("https://www.senado.gob.ar/parlamentario/comisiones/verExp/163.26/PE/AC","2026")</f>
        <v>2026</v>
      </c>
      <c r="D16" t="s">
        <v>68</v>
      </c>
      <c r="E16" t="s">
        <v>99</v>
      </c>
      <c r="F16" t="s">
        <v>62</v>
      </c>
      <c r="H16" t="s">
        <v>71</v>
      </c>
      <c r="I16" t="s">
        <v>97</v>
      </c>
      <c r="K16" t="s">
        <v>73</v>
      </c>
      <c r="L16" t="s">
        <v>97</v>
      </c>
      <c r="O16">
        <v>71</v>
      </c>
      <c r="P16" t="s">
        <v>75</v>
      </c>
      <c r="Q16" t="s">
        <v>98</v>
      </c>
      <c r="R16" t="s">
        <v>77</v>
      </c>
      <c r="AI16" t="str">
        <f>HYPERLINK("https://www.senado.gob.ar/parlamentario/parlamentaria/ordenDelDiaResultadoLink/2026/214"," 214 2026 AP -")</f>
        <v xml:space="preserve"> 214 2026 AP -</v>
      </c>
      <c r="AJ16" t="s">
        <v>53</v>
      </c>
      <c r="AK16" t="s">
        <v>54</v>
      </c>
      <c r="AM16" t="s">
        <v>71</v>
      </c>
    </row>
    <row r="17" spans="1:39" x14ac:dyDescent="0.25">
      <c r="A17" t="s">
        <v>67</v>
      </c>
      <c r="B17" t="str">
        <f>HYPERLINK("https://www.senado.gob.ar/parlamentario/comisiones/verExp/161.26/PE/AC","161")</f>
        <v>161</v>
      </c>
      <c r="C17" t="str">
        <f>HYPERLINK("https://www.senado.gob.ar/parlamentario/comisiones/verExp/161.26/PE/AC","2026")</f>
        <v>2026</v>
      </c>
      <c r="D17" t="s">
        <v>68</v>
      </c>
      <c r="E17" t="s">
        <v>100</v>
      </c>
      <c r="F17" t="s">
        <v>62</v>
      </c>
      <c r="H17" t="s">
        <v>71</v>
      </c>
      <c r="I17" t="s">
        <v>97</v>
      </c>
      <c r="K17" t="s">
        <v>73</v>
      </c>
      <c r="L17" t="s">
        <v>97</v>
      </c>
      <c r="O17">
        <v>71</v>
      </c>
      <c r="P17" t="s">
        <v>75</v>
      </c>
      <c r="Q17" t="s">
        <v>98</v>
      </c>
      <c r="R17" t="s">
        <v>77</v>
      </c>
      <c r="AI17" t="str">
        <f>HYPERLINK("https://www.senado.gob.ar/parlamentario/parlamentaria/ordenDelDiaResultadoLink/2026/213"," 213 2026 AP -")</f>
        <v xml:space="preserve"> 213 2026 AP -</v>
      </c>
      <c r="AJ17" t="s">
        <v>53</v>
      </c>
      <c r="AK17" t="s">
        <v>54</v>
      </c>
      <c r="AM17" t="s">
        <v>71</v>
      </c>
    </row>
    <row r="18" spans="1:39" x14ac:dyDescent="0.25">
      <c r="A18" t="s">
        <v>67</v>
      </c>
      <c r="B18" t="str">
        <f>HYPERLINK("https://www.senado.gob.ar/parlamentario/comisiones/verExp/160.26/PE/AC","160")</f>
        <v>160</v>
      </c>
      <c r="C18" t="str">
        <f>HYPERLINK("https://www.senado.gob.ar/parlamentario/comisiones/verExp/160.26/PE/AC","2026")</f>
        <v>2026</v>
      </c>
      <c r="D18" t="s">
        <v>68</v>
      </c>
      <c r="E18" t="s">
        <v>101</v>
      </c>
      <c r="F18" t="s">
        <v>62</v>
      </c>
      <c r="H18" t="s">
        <v>71</v>
      </c>
      <c r="I18" t="s">
        <v>97</v>
      </c>
      <c r="K18" t="s">
        <v>73</v>
      </c>
      <c r="L18" t="s">
        <v>97</v>
      </c>
      <c r="O18">
        <v>71</v>
      </c>
      <c r="P18" t="s">
        <v>75</v>
      </c>
      <c r="Q18" t="s">
        <v>98</v>
      </c>
      <c r="R18" t="s">
        <v>77</v>
      </c>
      <c r="AI18" t="str">
        <f>HYPERLINK("https://www.senado.gob.ar/parlamentario/parlamentaria/ordenDelDiaResultadoLink/2026/212"," 212 2026 AP -")</f>
        <v xml:space="preserve"> 212 2026 AP -</v>
      </c>
      <c r="AJ18" t="s">
        <v>53</v>
      </c>
      <c r="AK18" t="s">
        <v>54</v>
      </c>
      <c r="AM18" t="s">
        <v>71</v>
      </c>
    </row>
    <row r="19" spans="1:39" x14ac:dyDescent="0.25">
      <c r="A19" t="s">
        <v>67</v>
      </c>
      <c r="B19" t="str">
        <f>HYPERLINK("https://www.senado.gob.ar/parlamentario/comisiones/verExp/159.26/PE/AC","159")</f>
        <v>159</v>
      </c>
      <c r="C19" t="str">
        <f>HYPERLINK("https://www.senado.gob.ar/parlamentario/comisiones/verExp/159.26/PE/AC","2026")</f>
        <v>2026</v>
      </c>
      <c r="D19" t="s">
        <v>68</v>
      </c>
      <c r="E19" t="s">
        <v>102</v>
      </c>
      <c r="F19" t="s">
        <v>62</v>
      </c>
      <c r="H19" t="s">
        <v>71</v>
      </c>
      <c r="I19" t="s">
        <v>97</v>
      </c>
      <c r="K19" t="s">
        <v>73</v>
      </c>
      <c r="L19" t="s">
        <v>97</v>
      </c>
      <c r="O19">
        <v>71</v>
      </c>
      <c r="P19" t="s">
        <v>75</v>
      </c>
      <c r="Q19" t="s">
        <v>98</v>
      </c>
      <c r="R19" t="s">
        <v>77</v>
      </c>
      <c r="AI19" t="str">
        <f>HYPERLINK("https://www.senado.gob.ar/parlamentario/parlamentaria/ordenDelDiaResultadoLink/2026/211"," 211 2026 AP -")</f>
        <v xml:space="preserve"> 211 2026 AP -</v>
      </c>
      <c r="AJ19" t="s">
        <v>53</v>
      </c>
      <c r="AK19" t="s">
        <v>54</v>
      </c>
      <c r="AM19" t="s">
        <v>71</v>
      </c>
    </row>
    <row r="20" spans="1:39" x14ac:dyDescent="0.25">
      <c r="A20" t="s">
        <v>67</v>
      </c>
      <c r="B20" t="str">
        <f>HYPERLINK("https://www.senado.gob.ar/parlamentario/comisiones/verExp/158.26/PE/AC","158")</f>
        <v>158</v>
      </c>
      <c r="C20" t="str">
        <f>HYPERLINK("https://www.senado.gob.ar/parlamentario/comisiones/verExp/158.26/PE/AC","2026")</f>
        <v>2026</v>
      </c>
      <c r="D20" t="s">
        <v>68</v>
      </c>
      <c r="E20" t="s">
        <v>103</v>
      </c>
      <c r="F20" t="s">
        <v>62</v>
      </c>
      <c r="H20" t="s">
        <v>71</v>
      </c>
      <c r="I20" t="s">
        <v>97</v>
      </c>
      <c r="K20" t="s">
        <v>73</v>
      </c>
      <c r="L20" t="s">
        <v>97</v>
      </c>
      <c r="O20">
        <v>71</v>
      </c>
      <c r="P20" t="s">
        <v>75</v>
      </c>
      <c r="Q20" t="s">
        <v>98</v>
      </c>
      <c r="R20" t="s">
        <v>77</v>
      </c>
      <c r="AI20" t="str">
        <f>HYPERLINK("https://www.senado.gob.ar/parlamentario/parlamentaria/ordenDelDiaResultadoLink/2026/210"," 210 2026 AP -")</f>
        <v xml:space="preserve"> 210 2026 AP -</v>
      </c>
      <c r="AJ20" t="s">
        <v>53</v>
      </c>
      <c r="AK20" t="s">
        <v>54</v>
      </c>
      <c r="AM20" t="s">
        <v>71</v>
      </c>
    </row>
    <row r="21" spans="1:39" x14ac:dyDescent="0.25">
      <c r="A21" t="s">
        <v>67</v>
      </c>
      <c r="B21" t="str">
        <f>HYPERLINK("https://www.senado.gob.ar/parlamentario/comisiones/verExp/153.26/PE/AC","153")</f>
        <v>153</v>
      </c>
      <c r="C21" t="str">
        <f>HYPERLINK("https://www.senado.gob.ar/parlamentario/comisiones/verExp/153.26/PE/AC","2026")</f>
        <v>2026</v>
      </c>
      <c r="D21" t="s">
        <v>68</v>
      </c>
      <c r="E21" t="s">
        <v>104</v>
      </c>
      <c r="F21" t="s">
        <v>105</v>
      </c>
      <c r="H21" t="s">
        <v>71</v>
      </c>
      <c r="I21" t="s">
        <v>106</v>
      </c>
      <c r="K21" t="s">
        <v>73</v>
      </c>
      <c r="L21" t="s">
        <v>106</v>
      </c>
      <c r="O21">
        <v>71</v>
      </c>
      <c r="P21" t="s">
        <v>75</v>
      </c>
      <c r="Q21" t="s">
        <v>107</v>
      </c>
      <c r="R21" t="s">
        <v>77</v>
      </c>
      <c r="AI21" t="str">
        <f>HYPERLINK("https://www.senado.gob.ar/parlamentario/parlamentaria/ordenDelDiaResultadoLink/2026/208"," 208 2026 AP -")</f>
        <v xml:space="preserve"> 208 2026 AP -</v>
      </c>
      <c r="AJ21" t="s">
        <v>53</v>
      </c>
      <c r="AK21" t="s">
        <v>54</v>
      </c>
      <c r="AM21" t="s">
        <v>71</v>
      </c>
    </row>
    <row r="22" spans="1:39" x14ac:dyDescent="0.25">
      <c r="A22" t="s">
        <v>67</v>
      </c>
      <c r="B22" t="str">
        <f>HYPERLINK("https://www.senado.gob.ar/parlamentario/comisiones/verExp/152.26/PE/AC","152")</f>
        <v>152</v>
      </c>
      <c r="C22" t="str">
        <f>HYPERLINK("https://www.senado.gob.ar/parlamentario/comisiones/verExp/152.26/PE/AC","2026")</f>
        <v>2026</v>
      </c>
      <c r="D22" t="s">
        <v>68</v>
      </c>
      <c r="E22" t="s">
        <v>108</v>
      </c>
      <c r="F22" t="s">
        <v>105</v>
      </c>
      <c r="H22" t="s">
        <v>71</v>
      </c>
      <c r="I22" t="s">
        <v>106</v>
      </c>
      <c r="K22" t="s">
        <v>73</v>
      </c>
      <c r="L22" t="s">
        <v>106</v>
      </c>
      <c r="O22">
        <v>71</v>
      </c>
      <c r="P22" t="s">
        <v>75</v>
      </c>
      <c r="Q22" t="s">
        <v>107</v>
      </c>
      <c r="R22" t="s">
        <v>77</v>
      </c>
      <c r="AI22" t="str">
        <f>HYPERLINK("https://www.senado.gob.ar/parlamentario/parlamentaria/ordenDelDiaResultadoLink/2026/207"," 207 2026 AP -")</f>
        <v xml:space="preserve"> 207 2026 AP -</v>
      </c>
      <c r="AJ22" t="s">
        <v>53</v>
      </c>
      <c r="AK22" t="s">
        <v>54</v>
      </c>
      <c r="AM22" t="s">
        <v>71</v>
      </c>
    </row>
    <row r="23" spans="1:39" x14ac:dyDescent="0.25">
      <c r="A23" t="s">
        <v>67</v>
      </c>
      <c r="B23" t="str">
        <f>HYPERLINK("https://www.senado.gob.ar/parlamentario/comisiones/verExp/150.26/PE/AC","150")</f>
        <v>150</v>
      </c>
      <c r="C23" t="str">
        <f>HYPERLINK("https://www.senado.gob.ar/parlamentario/comisiones/verExp/150.26/PE/AC","2026")</f>
        <v>2026</v>
      </c>
      <c r="D23" t="s">
        <v>68</v>
      </c>
      <c r="E23" t="s">
        <v>109</v>
      </c>
      <c r="F23" t="s">
        <v>105</v>
      </c>
      <c r="H23" t="s">
        <v>71</v>
      </c>
      <c r="I23" t="s">
        <v>106</v>
      </c>
      <c r="K23" t="s">
        <v>73</v>
      </c>
      <c r="L23" t="s">
        <v>106</v>
      </c>
      <c r="O23">
        <v>71</v>
      </c>
      <c r="P23" t="s">
        <v>75</v>
      </c>
      <c r="Q23" t="s">
        <v>107</v>
      </c>
      <c r="R23" t="s">
        <v>77</v>
      </c>
      <c r="AI23" t="str">
        <f>HYPERLINK("https://www.senado.gob.ar/parlamentario/parlamentaria/ordenDelDiaResultadoLink/2026/206"," 206 2026 AP -")</f>
        <v xml:space="preserve"> 206 2026 AP -</v>
      </c>
      <c r="AJ23" t="s">
        <v>53</v>
      </c>
      <c r="AK23" t="s">
        <v>54</v>
      </c>
      <c r="AM23" t="s">
        <v>71</v>
      </c>
    </row>
    <row r="24" spans="1:39" x14ac:dyDescent="0.25">
      <c r="A24" t="s">
        <v>67</v>
      </c>
      <c r="B24" t="str">
        <f>HYPERLINK("https://www.senado.gob.ar/parlamentario/comisiones/verExp/148.26/PE/AC","148")</f>
        <v>148</v>
      </c>
      <c r="C24" t="str">
        <f>HYPERLINK("https://www.senado.gob.ar/parlamentario/comisiones/verExp/148.26/PE/AC","2026")</f>
        <v>2026</v>
      </c>
      <c r="D24" t="s">
        <v>68</v>
      </c>
      <c r="E24" t="s">
        <v>110</v>
      </c>
      <c r="F24" t="s">
        <v>105</v>
      </c>
      <c r="H24" t="s">
        <v>71</v>
      </c>
      <c r="I24" t="s">
        <v>106</v>
      </c>
      <c r="K24" t="s">
        <v>73</v>
      </c>
      <c r="L24" t="s">
        <v>106</v>
      </c>
      <c r="O24">
        <v>71</v>
      </c>
      <c r="P24" t="s">
        <v>75</v>
      </c>
      <c r="Q24" t="s">
        <v>107</v>
      </c>
      <c r="R24" t="s">
        <v>77</v>
      </c>
      <c r="AI24" t="str">
        <f>HYPERLINK("https://www.senado.gob.ar/parlamentario/parlamentaria/ordenDelDiaResultadoLink/2026/205"," 205 2026 AP -")</f>
        <v xml:space="preserve"> 205 2026 AP -</v>
      </c>
      <c r="AJ24" t="s">
        <v>53</v>
      </c>
      <c r="AK24" t="s">
        <v>54</v>
      </c>
      <c r="AM24" t="s">
        <v>71</v>
      </c>
    </row>
    <row r="25" spans="1:39" x14ac:dyDescent="0.25">
      <c r="A25" t="s">
        <v>67</v>
      </c>
      <c r="B25" t="str">
        <f>HYPERLINK("https://www.senado.gob.ar/parlamentario/comisiones/verExp/147.26/PE/AC","147")</f>
        <v>147</v>
      </c>
      <c r="C25" t="str">
        <f>HYPERLINK("https://www.senado.gob.ar/parlamentario/comisiones/verExp/147.26/PE/AC","2026")</f>
        <v>2026</v>
      </c>
      <c r="D25" t="s">
        <v>68</v>
      </c>
      <c r="E25" t="s">
        <v>111</v>
      </c>
      <c r="F25" t="s">
        <v>112</v>
      </c>
      <c r="H25" t="s">
        <v>71</v>
      </c>
      <c r="I25" t="s">
        <v>113</v>
      </c>
      <c r="K25" t="s">
        <v>73</v>
      </c>
      <c r="L25" t="s">
        <v>113</v>
      </c>
      <c r="O25">
        <v>71</v>
      </c>
      <c r="P25" t="s">
        <v>75</v>
      </c>
      <c r="Q25" t="s">
        <v>114</v>
      </c>
      <c r="R25" t="s">
        <v>77</v>
      </c>
      <c r="AI25" t="str">
        <f>HYPERLINK("https://www.senado.gob.ar/parlamentario/parlamentaria/ordenDelDiaResultadoLink/2026/204"," 204 2026 AP -")</f>
        <v xml:space="preserve"> 204 2026 AP -</v>
      </c>
      <c r="AJ25" t="s">
        <v>53</v>
      </c>
      <c r="AK25" t="s">
        <v>54</v>
      </c>
      <c r="AM25" t="s">
        <v>71</v>
      </c>
    </row>
    <row r="26" spans="1:39" x14ac:dyDescent="0.25">
      <c r="A26" t="s">
        <v>67</v>
      </c>
      <c r="B26" t="str">
        <f>HYPERLINK("https://www.senado.gob.ar/parlamentario/comisiones/verExp/146.26/PE/AC","146")</f>
        <v>146</v>
      </c>
      <c r="C26" t="str">
        <f>HYPERLINK("https://www.senado.gob.ar/parlamentario/comisiones/verExp/146.26/PE/AC","2026")</f>
        <v>2026</v>
      </c>
      <c r="D26" t="s">
        <v>68</v>
      </c>
      <c r="E26" t="s">
        <v>115</v>
      </c>
      <c r="F26" t="s">
        <v>112</v>
      </c>
      <c r="H26" t="s">
        <v>71</v>
      </c>
      <c r="I26" t="s">
        <v>113</v>
      </c>
      <c r="K26" t="s">
        <v>73</v>
      </c>
      <c r="L26" t="s">
        <v>113</v>
      </c>
      <c r="O26">
        <v>71</v>
      </c>
      <c r="P26" t="s">
        <v>75</v>
      </c>
      <c r="Q26" t="s">
        <v>114</v>
      </c>
      <c r="R26" t="s">
        <v>77</v>
      </c>
      <c r="AI26" t="str">
        <f>HYPERLINK("https://www.senado.gob.ar/parlamentario/parlamentaria/ordenDelDiaResultadoLink/2026/203"," 203 2026 AP -")</f>
        <v xml:space="preserve"> 203 2026 AP -</v>
      </c>
      <c r="AJ26" t="s">
        <v>53</v>
      </c>
      <c r="AK26" t="s">
        <v>54</v>
      </c>
      <c r="AM26" t="s">
        <v>71</v>
      </c>
    </row>
    <row r="27" spans="1:39" x14ac:dyDescent="0.25">
      <c r="A27" t="s">
        <v>67</v>
      </c>
      <c r="B27" t="str">
        <f>HYPERLINK("https://www.senado.gob.ar/parlamentario/comisiones/verExp/145.26/PE/AC","145")</f>
        <v>145</v>
      </c>
      <c r="C27" t="str">
        <f>HYPERLINK("https://www.senado.gob.ar/parlamentario/comisiones/verExp/145.26/PE/AC","2026")</f>
        <v>2026</v>
      </c>
      <c r="D27" t="s">
        <v>68</v>
      </c>
      <c r="E27" t="s">
        <v>116</v>
      </c>
      <c r="F27" t="s">
        <v>112</v>
      </c>
      <c r="H27" t="s">
        <v>71</v>
      </c>
      <c r="I27" t="s">
        <v>113</v>
      </c>
      <c r="K27" t="s">
        <v>73</v>
      </c>
      <c r="L27" t="s">
        <v>113</v>
      </c>
      <c r="O27">
        <v>71</v>
      </c>
      <c r="P27" t="s">
        <v>75</v>
      </c>
      <c r="Q27" t="s">
        <v>114</v>
      </c>
      <c r="R27" t="s">
        <v>77</v>
      </c>
      <c r="AI27" t="str">
        <f>HYPERLINK("https://www.senado.gob.ar/parlamentario/parlamentaria/ordenDelDiaResultadoLink/2026/202"," 202 2026 AP -")</f>
        <v xml:space="preserve"> 202 2026 AP -</v>
      </c>
      <c r="AJ27" t="s">
        <v>53</v>
      </c>
      <c r="AK27" t="s">
        <v>54</v>
      </c>
      <c r="AM27" t="s">
        <v>71</v>
      </c>
    </row>
    <row r="28" spans="1:39" x14ac:dyDescent="0.25">
      <c r="A28" t="s">
        <v>67</v>
      </c>
      <c r="B28" t="str">
        <f>HYPERLINK("https://www.senado.gob.ar/parlamentario/comisiones/verExp/144.26/PE/AC","144")</f>
        <v>144</v>
      </c>
      <c r="C28" t="str">
        <f>HYPERLINK("https://www.senado.gob.ar/parlamentario/comisiones/verExp/144.26/PE/AC","2026")</f>
        <v>2026</v>
      </c>
      <c r="D28" t="s">
        <v>68</v>
      </c>
      <c r="E28" t="s">
        <v>117</v>
      </c>
      <c r="F28" t="s">
        <v>112</v>
      </c>
      <c r="H28" t="s">
        <v>71</v>
      </c>
      <c r="I28" t="s">
        <v>113</v>
      </c>
      <c r="K28" t="s">
        <v>73</v>
      </c>
      <c r="L28" t="s">
        <v>113</v>
      </c>
      <c r="O28">
        <v>71</v>
      </c>
      <c r="P28" t="s">
        <v>75</v>
      </c>
      <c r="Q28" t="s">
        <v>114</v>
      </c>
      <c r="R28" t="s">
        <v>77</v>
      </c>
      <c r="AI28" t="str">
        <f>HYPERLINK("https://www.senado.gob.ar/parlamentario/parlamentaria/ordenDelDiaResultadoLink/2026/201"," 201 2026 AP -")</f>
        <v xml:space="preserve"> 201 2026 AP -</v>
      </c>
      <c r="AJ28" t="s">
        <v>53</v>
      </c>
      <c r="AK28" t="s">
        <v>54</v>
      </c>
      <c r="AM28" t="s">
        <v>71</v>
      </c>
    </row>
    <row r="29" spans="1:39" x14ac:dyDescent="0.25">
      <c r="A29" t="s">
        <v>67</v>
      </c>
      <c r="B29" t="str">
        <f>HYPERLINK("https://www.senado.gob.ar/parlamentario/comisiones/verExp/143.26/PE/AC","143")</f>
        <v>143</v>
      </c>
      <c r="C29" t="str">
        <f>HYPERLINK("https://www.senado.gob.ar/parlamentario/comisiones/verExp/143.26/PE/AC","2026")</f>
        <v>2026</v>
      </c>
      <c r="D29" t="s">
        <v>68</v>
      </c>
      <c r="E29" t="s">
        <v>118</v>
      </c>
      <c r="F29" t="s">
        <v>112</v>
      </c>
      <c r="H29" t="s">
        <v>71</v>
      </c>
      <c r="I29" t="s">
        <v>113</v>
      </c>
      <c r="K29" t="s">
        <v>73</v>
      </c>
      <c r="L29" t="s">
        <v>113</v>
      </c>
      <c r="O29">
        <v>71</v>
      </c>
      <c r="P29" t="s">
        <v>75</v>
      </c>
      <c r="Q29" t="s">
        <v>114</v>
      </c>
      <c r="R29" t="s">
        <v>77</v>
      </c>
      <c r="AI29" t="str">
        <f>HYPERLINK("https://www.senado.gob.ar/parlamentario/parlamentaria/ordenDelDiaResultadoLink/2026/200"," 200 2026 AP -")</f>
        <v xml:space="preserve"> 200 2026 AP -</v>
      </c>
      <c r="AJ29" t="s">
        <v>53</v>
      </c>
      <c r="AK29" t="s">
        <v>54</v>
      </c>
      <c r="AM29" t="s">
        <v>71</v>
      </c>
    </row>
    <row r="30" spans="1:39" x14ac:dyDescent="0.25">
      <c r="A30" t="s">
        <v>67</v>
      </c>
      <c r="B30" t="str">
        <f>HYPERLINK("https://www.senado.gob.ar/parlamentario/comisiones/verExp/142.26/PE/AC","142")</f>
        <v>142</v>
      </c>
      <c r="C30" t="str">
        <f>HYPERLINK("https://www.senado.gob.ar/parlamentario/comisiones/verExp/142.26/PE/AC","2026")</f>
        <v>2026</v>
      </c>
      <c r="D30" t="s">
        <v>68</v>
      </c>
      <c r="E30" t="s">
        <v>119</v>
      </c>
      <c r="F30" t="s">
        <v>112</v>
      </c>
      <c r="H30" t="s">
        <v>71</v>
      </c>
      <c r="I30" t="s">
        <v>113</v>
      </c>
      <c r="K30" t="s">
        <v>120</v>
      </c>
      <c r="L30" t="s">
        <v>113</v>
      </c>
      <c r="O30">
        <v>71</v>
      </c>
      <c r="P30" t="s">
        <v>75</v>
      </c>
      <c r="Q30" t="s">
        <v>114</v>
      </c>
      <c r="R30" t="s">
        <v>121</v>
      </c>
      <c r="AI30" t="str">
        <f>HYPERLINK("https://www.senado.gob.ar/parlamentario/parlamentaria/ordenDelDiaResultadoLink/2026/129"," 129 2026 AP -")</f>
        <v xml:space="preserve"> 129 2026 AP -</v>
      </c>
      <c r="AJ30" t="s">
        <v>53</v>
      </c>
      <c r="AK30" t="s">
        <v>54</v>
      </c>
      <c r="AM30" t="s">
        <v>71</v>
      </c>
    </row>
    <row r="31" spans="1:39" x14ac:dyDescent="0.25">
      <c r="A31" t="s">
        <v>67</v>
      </c>
      <c r="B31" t="str">
        <f>HYPERLINK("https://www.senado.gob.ar/parlamentario/comisiones/verExp/141.26/PE/AC","141")</f>
        <v>141</v>
      </c>
      <c r="C31" t="str">
        <f>HYPERLINK("https://www.senado.gob.ar/parlamentario/comisiones/verExp/141.26/PE/AC","2026")</f>
        <v>2026</v>
      </c>
      <c r="D31" t="s">
        <v>68</v>
      </c>
      <c r="E31" t="s">
        <v>122</v>
      </c>
      <c r="F31" t="s">
        <v>112</v>
      </c>
      <c r="H31" t="s">
        <v>71</v>
      </c>
      <c r="I31" t="s">
        <v>113</v>
      </c>
      <c r="K31" t="s">
        <v>120</v>
      </c>
      <c r="L31" t="s">
        <v>113</v>
      </c>
      <c r="O31">
        <v>71</v>
      </c>
      <c r="P31" t="s">
        <v>75</v>
      </c>
      <c r="Q31" t="s">
        <v>114</v>
      </c>
      <c r="R31" t="s">
        <v>121</v>
      </c>
      <c r="AI31" t="str">
        <f>HYPERLINK("https://www.senado.gob.ar/parlamentario/parlamentaria/ordenDelDiaResultadoLink/2026/128"," 128 2026 AP -")</f>
        <v xml:space="preserve"> 128 2026 AP -</v>
      </c>
      <c r="AJ31" t="s">
        <v>53</v>
      </c>
      <c r="AK31" t="s">
        <v>54</v>
      </c>
      <c r="AM31" t="s">
        <v>71</v>
      </c>
    </row>
    <row r="32" spans="1:39" x14ac:dyDescent="0.25">
      <c r="A32" t="s">
        <v>67</v>
      </c>
      <c r="B32" t="str">
        <f>HYPERLINK("https://www.senado.gob.ar/parlamentario/comisiones/verExp/140.26/PE/AC","140")</f>
        <v>140</v>
      </c>
      <c r="C32" t="str">
        <f>HYPERLINK("https://www.senado.gob.ar/parlamentario/comisiones/verExp/140.26/PE/AC","2026")</f>
        <v>2026</v>
      </c>
      <c r="D32" t="s">
        <v>68</v>
      </c>
      <c r="E32" t="s">
        <v>123</v>
      </c>
      <c r="F32" t="s">
        <v>112</v>
      </c>
      <c r="H32" t="s">
        <v>71</v>
      </c>
      <c r="I32" t="s">
        <v>113</v>
      </c>
      <c r="K32" t="s">
        <v>120</v>
      </c>
      <c r="L32" t="s">
        <v>113</v>
      </c>
      <c r="O32">
        <v>71</v>
      </c>
      <c r="P32" t="s">
        <v>75</v>
      </c>
      <c r="Q32" t="s">
        <v>114</v>
      </c>
      <c r="R32" t="s">
        <v>121</v>
      </c>
      <c r="AI32" t="str">
        <f>HYPERLINK("https://www.senado.gob.ar/parlamentario/parlamentaria/ordenDelDiaResultadoLink/2026/127"," 127 2026 AP -")</f>
        <v xml:space="preserve"> 127 2026 AP -</v>
      </c>
      <c r="AJ32" t="s">
        <v>53</v>
      </c>
      <c r="AK32" t="s">
        <v>54</v>
      </c>
      <c r="AM32" t="s">
        <v>71</v>
      </c>
    </row>
    <row r="33" spans="1:39" x14ac:dyDescent="0.25">
      <c r="A33" t="s">
        <v>67</v>
      </c>
      <c r="B33" t="str">
        <f>HYPERLINK("https://www.senado.gob.ar/parlamentario/comisiones/verExp/139.26/PE/AC","139")</f>
        <v>139</v>
      </c>
      <c r="C33" t="str">
        <f>HYPERLINK("https://www.senado.gob.ar/parlamentario/comisiones/verExp/139.26/PE/AC","2026")</f>
        <v>2026</v>
      </c>
      <c r="D33" t="s">
        <v>68</v>
      </c>
      <c r="E33" t="s">
        <v>124</v>
      </c>
      <c r="F33" t="s">
        <v>112</v>
      </c>
      <c r="H33" t="s">
        <v>71</v>
      </c>
      <c r="I33" t="s">
        <v>113</v>
      </c>
      <c r="K33" t="s">
        <v>120</v>
      </c>
      <c r="L33" t="s">
        <v>113</v>
      </c>
      <c r="O33">
        <v>71</v>
      </c>
      <c r="P33" t="s">
        <v>75</v>
      </c>
      <c r="Q33" t="s">
        <v>114</v>
      </c>
      <c r="R33" t="s">
        <v>121</v>
      </c>
      <c r="AI33" t="str">
        <f>HYPERLINK("https://www.senado.gob.ar/parlamentario/parlamentaria/ordenDelDiaResultadoLink/2026/126"," 126 2026 AP -")</f>
        <v xml:space="preserve"> 126 2026 AP -</v>
      </c>
      <c r="AJ33" t="s">
        <v>53</v>
      </c>
      <c r="AK33" t="s">
        <v>54</v>
      </c>
      <c r="AM33" t="s">
        <v>71</v>
      </c>
    </row>
    <row r="34" spans="1:39" x14ac:dyDescent="0.25">
      <c r="A34" t="s">
        <v>67</v>
      </c>
      <c r="B34" t="str">
        <f>HYPERLINK("https://www.senado.gob.ar/parlamentario/comisiones/verExp/138.26/PE/AC","138")</f>
        <v>138</v>
      </c>
      <c r="C34" t="str">
        <f>HYPERLINK("https://www.senado.gob.ar/parlamentario/comisiones/verExp/138.26/PE/AC","2026")</f>
        <v>2026</v>
      </c>
      <c r="D34" t="s">
        <v>68</v>
      </c>
      <c r="E34" t="s">
        <v>125</v>
      </c>
      <c r="F34" t="s">
        <v>112</v>
      </c>
      <c r="H34" t="s">
        <v>71</v>
      </c>
      <c r="I34" t="s">
        <v>113</v>
      </c>
      <c r="K34" t="s">
        <v>120</v>
      </c>
      <c r="L34" t="s">
        <v>113</v>
      </c>
      <c r="O34">
        <v>71</v>
      </c>
      <c r="P34" t="s">
        <v>75</v>
      </c>
      <c r="Q34" t="s">
        <v>114</v>
      </c>
      <c r="R34" t="s">
        <v>121</v>
      </c>
      <c r="AI34" t="str">
        <f>HYPERLINK("https://www.senado.gob.ar/parlamentario/parlamentaria/ordenDelDiaResultadoLink/2026/125"," 125 2026 AP -")</f>
        <v xml:space="preserve"> 125 2026 AP -</v>
      </c>
      <c r="AJ34" t="s">
        <v>53</v>
      </c>
      <c r="AK34" t="s">
        <v>54</v>
      </c>
      <c r="AM34" t="s">
        <v>71</v>
      </c>
    </row>
    <row r="35" spans="1:39" x14ac:dyDescent="0.25">
      <c r="A35" t="s">
        <v>67</v>
      </c>
      <c r="B35" t="str">
        <f>HYPERLINK("https://www.senado.gob.ar/parlamentario/comisiones/verExp/137.26/PE/AC","137")</f>
        <v>137</v>
      </c>
      <c r="C35" t="str">
        <f>HYPERLINK("https://www.senado.gob.ar/parlamentario/comisiones/verExp/137.26/PE/AC","2026")</f>
        <v>2026</v>
      </c>
      <c r="D35" t="s">
        <v>68</v>
      </c>
      <c r="E35" t="s">
        <v>126</v>
      </c>
      <c r="F35" t="s">
        <v>112</v>
      </c>
      <c r="H35" t="s">
        <v>71</v>
      </c>
      <c r="I35" t="s">
        <v>113</v>
      </c>
      <c r="K35" t="s">
        <v>120</v>
      </c>
      <c r="L35" t="s">
        <v>113</v>
      </c>
      <c r="O35">
        <v>71</v>
      </c>
      <c r="P35" t="s">
        <v>75</v>
      </c>
      <c r="Q35" t="s">
        <v>114</v>
      </c>
      <c r="R35" t="s">
        <v>121</v>
      </c>
      <c r="AI35" t="str">
        <f>HYPERLINK("https://www.senado.gob.ar/parlamentario/parlamentaria/ordenDelDiaResultadoLink/2026/124"," 124 2026 AP -")</f>
        <v xml:space="preserve"> 124 2026 AP -</v>
      </c>
      <c r="AJ35" t="s">
        <v>53</v>
      </c>
      <c r="AK35" t="s">
        <v>54</v>
      </c>
      <c r="AM35" t="s">
        <v>71</v>
      </c>
    </row>
    <row r="36" spans="1:39" x14ac:dyDescent="0.25">
      <c r="A36" t="s">
        <v>67</v>
      </c>
      <c r="B36" t="str">
        <f>HYPERLINK("https://www.senado.gob.ar/parlamentario/comisiones/verExp/136.26/PE/AC","136")</f>
        <v>136</v>
      </c>
      <c r="C36" t="str">
        <f>HYPERLINK("https://www.senado.gob.ar/parlamentario/comisiones/verExp/136.26/PE/AC","2026")</f>
        <v>2026</v>
      </c>
      <c r="D36" t="s">
        <v>68</v>
      </c>
      <c r="E36" t="s">
        <v>127</v>
      </c>
      <c r="F36" t="s">
        <v>128</v>
      </c>
      <c r="H36" t="s">
        <v>71</v>
      </c>
      <c r="I36" t="s">
        <v>113</v>
      </c>
      <c r="K36" t="s">
        <v>120</v>
      </c>
      <c r="L36" t="s">
        <v>113</v>
      </c>
      <c r="O36">
        <v>71</v>
      </c>
      <c r="P36" t="s">
        <v>75</v>
      </c>
      <c r="Q36" t="s">
        <v>114</v>
      </c>
      <c r="R36" t="s">
        <v>121</v>
      </c>
      <c r="AI36" t="str">
        <f>HYPERLINK("https://www.senado.gob.ar/parlamentario/parlamentaria/ordenDelDiaResultadoLink/2026/123"," 123 2026 AP -")</f>
        <v xml:space="preserve"> 123 2026 AP -</v>
      </c>
      <c r="AJ36" t="s">
        <v>53</v>
      </c>
      <c r="AK36" t="s">
        <v>54</v>
      </c>
      <c r="AM36" t="s">
        <v>71</v>
      </c>
    </row>
    <row r="37" spans="1:39" x14ac:dyDescent="0.25">
      <c r="A37" t="s">
        <v>42</v>
      </c>
      <c r="B37" t="str">
        <f>HYPERLINK("https://www.senado.gob.ar/parlamentario/comisiones/verExp/130.26/S/PL","130")</f>
        <v>130</v>
      </c>
      <c r="C37" t="str">
        <f>HYPERLINK("https://www.senado.gob.ar/parlamentario/comisiones/verExp/130.26/S/PL","2026")</f>
        <v>2026</v>
      </c>
      <c r="D37" t="s">
        <v>43</v>
      </c>
      <c r="E37" t="s">
        <v>129</v>
      </c>
      <c r="F37" t="s">
        <v>130</v>
      </c>
      <c r="I37" t="s">
        <v>131</v>
      </c>
      <c r="K37" t="s">
        <v>56</v>
      </c>
      <c r="L37" t="s">
        <v>132</v>
      </c>
      <c r="N37" t="s">
        <v>133</v>
      </c>
      <c r="O37">
        <v>52</v>
      </c>
      <c r="P37" t="s">
        <v>57</v>
      </c>
      <c r="Q37" t="s">
        <v>134</v>
      </c>
      <c r="R37" t="s">
        <v>58</v>
      </c>
      <c r="S37">
        <v>54</v>
      </c>
      <c r="T37" t="s">
        <v>59</v>
      </c>
      <c r="U37" t="s">
        <v>134</v>
      </c>
      <c r="V37" t="s">
        <v>58</v>
      </c>
      <c r="AI37" t="str">
        <f>HYPERLINK("https://www.senado.gob.ar/parlamentario/parlamentaria/ordenDelDiaResultadoLink/2026/105"," 105 2026 AP -")</f>
        <v xml:space="preserve"> 105 2026 AP -</v>
      </c>
      <c r="AJ37" t="s">
        <v>60</v>
      </c>
      <c r="AK37" t="s">
        <v>54</v>
      </c>
    </row>
    <row r="38" spans="1:39" x14ac:dyDescent="0.25">
      <c r="A38" t="s">
        <v>67</v>
      </c>
      <c r="B38" t="str">
        <f>HYPERLINK("https://www.senado.gob.ar/parlamentario/comisiones/verExp/128.26/PE/AC","128")</f>
        <v>128</v>
      </c>
      <c r="C38" t="str">
        <f>HYPERLINK("https://www.senado.gob.ar/parlamentario/comisiones/verExp/128.26/PE/AC","2026")</f>
        <v>2026</v>
      </c>
      <c r="D38" t="s">
        <v>68</v>
      </c>
      <c r="E38" t="s">
        <v>135</v>
      </c>
      <c r="F38" t="s">
        <v>136</v>
      </c>
      <c r="H38" t="s">
        <v>71</v>
      </c>
      <c r="I38" t="s">
        <v>137</v>
      </c>
      <c r="K38" t="s">
        <v>73</v>
      </c>
      <c r="L38" t="s">
        <v>137</v>
      </c>
      <c r="O38">
        <v>71</v>
      </c>
      <c r="P38" t="s">
        <v>75</v>
      </c>
      <c r="Q38" t="s">
        <v>138</v>
      </c>
      <c r="R38" t="s">
        <v>77</v>
      </c>
      <c r="AI38" t="str">
        <f>HYPERLINK("https://www.senado.gob.ar/parlamentario/parlamentaria/ordenDelDiaResultadoLink/2026/199"," 199 2026 AP -")</f>
        <v xml:space="preserve"> 199 2026 AP -</v>
      </c>
      <c r="AJ38" t="s">
        <v>53</v>
      </c>
      <c r="AK38" t="s">
        <v>54</v>
      </c>
      <c r="AM38" t="s">
        <v>71</v>
      </c>
    </row>
    <row r="39" spans="1:39" x14ac:dyDescent="0.25">
      <c r="A39" t="s">
        <v>67</v>
      </c>
      <c r="B39" t="str">
        <f>HYPERLINK("https://www.senado.gob.ar/parlamentario/comisiones/verExp/121.26/PE/AC","121")</f>
        <v>121</v>
      </c>
      <c r="C39" t="str">
        <f>HYPERLINK("https://www.senado.gob.ar/parlamentario/comisiones/verExp/121.26/PE/AC","2026")</f>
        <v>2026</v>
      </c>
      <c r="D39" t="s">
        <v>68</v>
      </c>
      <c r="E39" t="s">
        <v>139</v>
      </c>
      <c r="F39" t="s">
        <v>136</v>
      </c>
      <c r="H39" t="s">
        <v>71</v>
      </c>
      <c r="I39" t="s">
        <v>137</v>
      </c>
      <c r="K39" t="s">
        <v>73</v>
      </c>
      <c r="L39" t="s">
        <v>137</v>
      </c>
      <c r="O39">
        <v>71</v>
      </c>
      <c r="P39" t="s">
        <v>75</v>
      </c>
      <c r="Q39" t="s">
        <v>138</v>
      </c>
      <c r="R39" t="s">
        <v>77</v>
      </c>
      <c r="AI39" t="str">
        <f>HYPERLINK("https://www.senado.gob.ar/parlamentario/parlamentaria/ordenDelDiaResultadoLink/2026/198"," 198 2026 AP -")</f>
        <v xml:space="preserve"> 198 2026 AP -</v>
      </c>
      <c r="AJ39" t="s">
        <v>53</v>
      </c>
      <c r="AK39" t="s">
        <v>54</v>
      </c>
      <c r="AM39" t="s">
        <v>71</v>
      </c>
    </row>
    <row r="40" spans="1:39" x14ac:dyDescent="0.25">
      <c r="A40" t="s">
        <v>42</v>
      </c>
      <c r="B40" t="str">
        <f>HYPERLINK("https://www.senado.gob.ar/parlamentario/comisiones/verExp/112.26/S/PR","112")</f>
        <v>112</v>
      </c>
      <c r="C40" t="str">
        <f>HYPERLINK("https://www.senado.gob.ar/parlamentario/comisiones/verExp/112.26/S/PR","2026")</f>
        <v>2026</v>
      </c>
      <c r="D40" t="s">
        <v>140</v>
      </c>
      <c r="E40" t="s">
        <v>141</v>
      </c>
      <c r="F40" t="s">
        <v>142</v>
      </c>
      <c r="H40" t="s">
        <v>143</v>
      </c>
      <c r="I40" t="s">
        <v>144</v>
      </c>
      <c r="K40" t="s">
        <v>145</v>
      </c>
      <c r="L40" t="s">
        <v>131</v>
      </c>
      <c r="N40" t="s">
        <v>146</v>
      </c>
      <c r="O40">
        <v>50</v>
      </c>
      <c r="P40" t="s">
        <v>147</v>
      </c>
      <c r="Q40" t="s">
        <v>148</v>
      </c>
      <c r="R40" t="s">
        <v>149</v>
      </c>
      <c r="AI40" t="str">
        <f>HYPERLINK("","")</f>
        <v/>
      </c>
      <c r="AJ40" t="s">
        <v>150</v>
      </c>
      <c r="AK40" t="s">
        <v>54</v>
      </c>
      <c r="AM40" t="s">
        <v>143</v>
      </c>
    </row>
    <row r="41" spans="1:39" x14ac:dyDescent="0.25">
      <c r="A41" t="s">
        <v>67</v>
      </c>
      <c r="B41" t="str">
        <f>HYPERLINK("https://www.senado.gob.ar/parlamentario/comisiones/verExp/105.26/PE/AC","105")</f>
        <v>105</v>
      </c>
      <c r="C41" t="str">
        <f>HYPERLINK("https://www.senado.gob.ar/parlamentario/comisiones/verExp/105.26/PE/AC","2026")</f>
        <v>2026</v>
      </c>
      <c r="D41" t="s">
        <v>68</v>
      </c>
      <c r="E41" t="s">
        <v>151</v>
      </c>
      <c r="F41" t="s">
        <v>136</v>
      </c>
      <c r="H41" t="s">
        <v>71</v>
      </c>
      <c r="I41" t="s">
        <v>137</v>
      </c>
      <c r="K41" t="s">
        <v>73</v>
      </c>
      <c r="L41" t="s">
        <v>137</v>
      </c>
      <c r="O41">
        <v>71</v>
      </c>
      <c r="P41" t="s">
        <v>75</v>
      </c>
      <c r="Q41" t="s">
        <v>138</v>
      </c>
      <c r="R41" t="s">
        <v>77</v>
      </c>
      <c r="AI41" t="str">
        <f>HYPERLINK("https://www.senado.gob.ar/parlamentario/parlamentaria/ordenDelDiaResultadoLink/2026/209"," 209 2026 AP -")</f>
        <v xml:space="preserve"> 209 2026 AP -</v>
      </c>
      <c r="AJ41" t="s">
        <v>53</v>
      </c>
      <c r="AK41" t="s">
        <v>54</v>
      </c>
      <c r="AM41" t="s">
        <v>71</v>
      </c>
    </row>
    <row r="42" spans="1:39" x14ac:dyDescent="0.25">
      <c r="A42" t="s">
        <v>67</v>
      </c>
      <c r="B42" t="str">
        <f>HYPERLINK("https://www.senado.gob.ar/parlamentario/comisiones/verExp/98.26/PE/PL","98")</f>
        <v>98</v>
      </c>
      <c r="C42" t="str">
        <f>HYPERLINK("https://www.senado.gob.ar/parlamentario/comisiones/verExp/98.26/PE/PL","2026")</f>
        <v>2026</v>
      </c>
      <c r="D42" t="s">
        <v>43</v>
      </c>
      <c r="E42" t="s">
        <v>152</v>
      </c>
      <c r="F42" t="s">
        <v>153</v>
      </c>
      <c r="I42" t="s">
        <v>154</v>
      </c>
      <c r="K42" t="s">
        <v>155</v>
      </c>
      <c r="L42" t="s">
        <v>156</v>
      </c>
      <c r="O42">
        <v>54</v>
      </c>
      <c r="P42" t="s">
        <v>59</v>
      </c>
      <c r="Q42" t="s">
        <v>157</v>
      </c>
      <c r="R42" t="s">
        <v>158</v>
      </c>
      <c r="S42">
        <v>54</v>
      </c>
      <c r="T42" t="s">
        <v>59</v>
      </c>
      <c r="U42" t="s">
        <v>86</v>
      </c>
      <c r="V42" t="s">
        <v>82</v>
      </c>
      <c r="W42">
        <v>58</v>
      </c>
      <c r="X42" t="s">
        <v>93</v>
      </c>
      <c r="Y42" t="s">
        <v>157</v>
      </c>
      <c r="Z42" t="s">
        <v>158</v>
      </c>
      <c r="AA42">
        <v>58</v>
      </c>
      <c r="AB42" t="s">
        <v>93</v>
      </c>
      <c r="AC42" t="s">
        <v>86</v>
      </c>
      <c r="AD42" t="s">
        <v>82</v>
      </c>
      <c r="AI42" t="str">
        <f>HYPERLINK("https://www.senado.gob.ar/parlamentario/parlamentaria/ordenDelDiaResultadoLink/2026/28"," 28 2026 DE - 102 2026 AP -")</f>
        <v xml:space="preserve"> 28 2026 DE - 102 2026 AP -</v>
      </c>
      <c r="AJ42" t="s">
        <v>94</v>
      </c>
      <c r="AK42" t="s">
        <v>95</v>
      </c>
    </row>
    <row r="43" spans="1:39" x14ac:dyDescent="0.25">
      <c r="A43" t="s">
        <v>42</v>
      </c>
      <c r="B43" t="str">
        <f>HYPERLINK("https://www.senado.gob.ar/parlamentario/comisiones/verExp/96.26/S/PL","96")</f>
        <v>96</v>
      </c>
      <c r="C43" t="str">
        <f>HYPERLINK("https://www.senado.gob.ar/parlamentario/comisiones/verExp/96.26/S/PL","2026")</f>
        <v>2026</v>
      </c>
      <c r="D43" t="s">
        <v>43</v>
      </c>
      <c r="E43" t="s">
        <v>159</v>
      </c>
      <c r="F43" t="s">
        <v>160</v>
      </c>
      <c r="I43" t="s">
        <v>161</v>
      </c>
      <c r="K43" t="s">
        <v>81</v>
      </c>
      <c r="L43" t="s">
        <v>132</v>
      </c>
      <c r="N43" t="s">
        <v>162</v>
      </c>
      <c r="O43">
        <v>52</v>
      </c>
      <c r="P43" t="s">
        <v>57</v>
      </c>
      <c r="Q43" t="s">
        <v>134</v>
      </c>
      <c r="R43" t="s">
        <v>82</v>
      </c>
      <c r="S43">
        <v>54</v>
      </c>
      <c r="T43" t="s">
        <v>59</v>
      </c>
      <c r="U43" t="s">
        <v>134</v>
      </c>
      <c r="V43" t="s">
        <v>82</v>
      </c>
      <c r="AI43" t="str">
        <f>HYPERLINK("https://www.senado.gob.ar/parlamentario/parlamentaria/ordenDelDiaResultadoLink/2026/103"," 103 2026 AP -")</f>
        <v xml:space="preserve"> 103 2026 AP -</v>
      </c>
      <c r="AJ43" t="s">
        <v>60</v>
      </c>
      <c r="AK43" t="s">
        <v>54</v>
      </c>
    </row>
    <row r="44" spans="1:39" x14ac:dyDescent="0.25">
      <c r="A44" t="s">
        <v>67</v>
      </c>
      <c r="B44" t="str">
        <f>HYPERLINK("https://www.senado.gob.ar/parlamentario/comisiones/verExp/95.26/PE/PL","95")</f>
        <v>95</v>
      </c>
      <c r="C44" t="str">
        <f>HYPERLINK("https://www.senado.gob.ar/parlamentario/comisiones/verExp/95.26/PE/PL","2026")</f>
        <v>2026</v>
      </c>
      <c r="D44" t="s">
        <v>43</v>
      </c>
      <c r="E44" t="s">
        <v>163</v>
      </c>
      <c r="F44" t="s">
        <v>164</v>
      </c>
      <c r="H44" t="s">
        <v>165</v>
      </c>
      <c r="I44" t="s">
        <v>166</v>
      </c>
      <c r="K44" t="s">
        <v>167</v>
      </c>
      <c r="L44" t="s">
        <v>168</v>
      </c>
      <c r="O44">
        <v>51</v>
      </c>
      <c r="P44" t="s">
        <v>169</v>
      </c>
      <c r="Q44" t="s">
        <v>170</v>
      </c>
      <c r="R44" t="s">
        <v>157</v>
      </c>
      <c r="AI44" t="str">
        <f>HYPERLINK("https://www.senado.gob.ar/parlamentario/parlamentaria/ordenDelDiaResultadoLink/2026/20"," 20 2026 AP -")</f>
        <v xml:space="preserve"> 20 2026 AP -</v>
      </c>
      <c r="AJ44" t="s">
        <v>171</v>
      </c>
      <c r="AK44" t="s">
        <v>172</v>
      </c>
      <c r="AM44" t="s">
        <v>165</v>
      </c>
    </row>
    <row r="45" spans="1:39" x14ac:dyDescent="0.25">
      <c r="A45" t="s">
        <v>67</v>
      </c>
      <c r="B45" t="str">
        <f>HYPERLINK("https://www.senado.gob.ar/parlamentario/comisiones/verExp/94.26/PE/PL","94")</f>
        <v>94</v>
      </c>
      <c r="C45" t="str">
        <f>HYPERLINK("https://www.senado.gob.ar/parlamentario/comisiones/verExp/94.26/PE/PL","2026")</f>
        <v>2026</v>
      </c>
      <c r="D45" t="s">
        <v>43</v>
      </c>
      <c r="E45" t="s">
        <v>173</v>
      </c>
      <c r="F45" t="s">
        <v>164</v>
      </c>
      <c r="H45" t="s">
        <v>165</v>
      </c>
      <c r="I45" t="s">
        <v>166</v>
      </c>
      <c r="K45" t="s">
        <v>167</v>
      </c>
      <c r="L45" t="s">
        <v>168</v>
      </c>
      <c r="O45">
        <v>51</v>
      </c>
      <c r="P45" t="s">
        <v>169</v>
      </c>
      <c r="Q45" t="s">
        <v>170</v>
      </c>
      <c r="R45" t="s">
        <v>157</v>
      </c>
      <c r="AI45" t="str">
        <f>HYPERLINK("https://www.senado.gob.ar/parlamentario/parlamentaria/ordenDelDiaResultadoLink/2026/19"," 19 2026 AP -")</f>
        <v xml:space="preserve"> 19 2026 AP -</v>
      </c>
      <c r="AJ45" t="s">
        <v>171</v>
      </c>
      <c r="AK45" t="s">
        <v>174</v>
      </c>
      <c r="AM45" t="s">
        <v>165</v>
      </c>
    </row>
    <row r="46" spans="1:39" x14ac:dyDescent="0.25">
      <c r="A46" t="s">
        <v>67</v>
      </c>
      <c r="B46" t="str">
        <f>HYPERLINK("https://www.senado.gob.ar/parlamentario/comisiones/verExp/93.26/PE/AC","93")</f>
        <v>93</v>
      </c>
      <c r="C46" t="str">
        <f>HYPERLINK("https://www.senado.gob.ar/parlamentario/comisiones/verExp/93.26/PE/AC","2026")</f>
        <v>2026</v>
      </c>
      <c r="D46" t="s">
        <v>68</v>
      </c>
      <c r="E46" t="s">
        <v>175</v>
      </c>
      <c r="F46" t="s">
        <v>176</v>
      </c>
      <c r="H46" t="s">
        <v>177</v>
      </c>
      <c r="I46" t="s">
        <v>178</v>
      </c>
      <c r="K46" t="s">
        <v>85</v>
      </c>
      <c r="L46" t="s">
        <v>178</v>
      </c>
      <c r="O46">
        <v>71</v>
      </c>
      <c r="P46" t="s">
        <v>75</v>
      </c>
      <c r="Q46" t="s">
        <v>179</v>
      </c>
      <c r="R46" t="s">
        <v>86</v>
      </c>
      <c r="AI46" t="str">
        <f>HYPERLINK("https://www.senado.gob.ar/parlamentario/parlamentaria/ordenDelDiaResultadoLink/2026/101"," 101 2026 AP -")</f>
        <v xml:space="preserve"> 101 2026 AP -</v>
      </c>
      <c r="AJ46" t="s">
        <v>60</v>
      </c>
      <c r="AK46" t="s">
        <v>54</v>
      </c>
      <c r="AM46" t="s">
        <v>177</v>
      </c>
    </row>
    <row r="47" spans="1:39" x14ac:dyDescent="0.25">
      <c r="A47" t="s">
        <v>67</v>
      </c>
      <c r="B47" t="str">
        <f>HYPERLINK("https://www.senado.gob.ar/parlamentario/comisiones/verExp/92.26/PE/AC","92")</f>
        <v>92</v>
      </c>
      <c r="C47" t="str">
        <f>HYPERLINK("https://www.senado.gob.ar/parlamentario/comisiones/verExp/92.26/PE/AC","2026")</f>
        <v>2026</v>
      </c>
      <c r="D47" t="s">
        <v>68</v>
      </c>
      <c r="E47" t="s">
        <v>180</v>
      </c>
      <c r="F47" t="s">
        <v>176</v>
      </c>
      <c r="H47" t="s">
        <v>177</v>
      </c>
      <c r="I47" t="s">
        <v>178</v>
      </c>
      <c r="K47" t="s">
        <v>85</v>
      </c>
      <c r="L47" t="s">
        <v>178</v>
      </c>
      <c r="O47">
        <v>71</v>
      </c>
      <c r="P47" t="s">
        <v>75</v>
      </c>
      <c r="Q47" t="s">
        <v>179</v>
      </c>
      <c r="R47" t="s">
        <v>86</v>
      </c>
      <c r="AI47" t="str">
        <f>HYPERLINK("https://www.senado.gob.ar/parlamentario/parlamentaria/ordenDelDiaResultadoLink/2026/100"," 100 2026 AP -")</f>
        <v xml:space="preserve"> 100 2026 AP -</v>
      </c>
      <c r="AJ47" t="s">
        <v>60</v>
      </c>
      <c r="AK47" t="s">
        <v>54</v>
      </c>
      <c r="AM47" t="s">
        <v>177</v>
      </c>
    </row>
    <row r="48" spans="1:39" x14ac:dyDescent="0.25">
      <c r="A48" t="s">
        <v>67</v>
      </c>
      <c r="B48" t="str">
        <f>HYPERLINK("https://www.senado.gob.ar/parlamentario/comisiones/verExp/90.26/PE/AC","90")</f>
        <v>90</v>
      </c>
      <c r="C48" t="str">
        <f>HYPERLINK("https://www.senado.gob.ar/parlamentario/comisiones/verExp/90.26/PE/AC","2026")</f>
        <v>2026</v>
      </c>
      <c r="D48" t="s">
        <v>68</v>
      </c>
      <c r="E48" t="s">
        <v>181</v>
      </c>
      <c r="F48" t="s">
        <v>176</v>
      </c>
      <c r="H48" t="s">
        <v>177</v>
      </c>
      <c r="I48" t="s">
        <v>178</v>
      </c>
      <c r="K48" t="s">
        <v>85</v>
      </c>
      <c r="L48" t="s">
        <v>178</v>
      </c>
      <c r="O48">
        <v>71</v>
      </c>
      <c r="P48" t="s">
        <v>75</v>
      </c>
      <c r="Q48" t="s">
        <v>179</v>
      </c>
      <c r="R48" t="s">
        <v>86</v>
      </c>
      <c r="AI48" t="str">
        <f>HYPERLINK("https://www.senado.gob.ar/parlamentario/parlamentaria/ordenDelDiaResultadoLink/2026/99"," 99 2026 AP -")</f>
        <v xml:space="preserve"> 99 2026 AP -</v>
      </c>
      <c r="AJ48" t="s">
        <v>60</v>
      </c>
      <c r="AK48" t="s">
        <v>54</v>
      </c>
      <c r="AM48" t="s">
        <v>177</v>
      </c>
    </row>
    <row r="49" spans="1:39" x14ac:dyDescent="0.25">
      <c r="A49" t="s">
        <v>67</v>
      </c>
      <c r="B49" t="str">
        <f>HYPERLINK("https://www.senado.gob.ar/parlamentario/comisiones/verExp/88.26/PE/AC","88")</f>
        <v>88</v>
      </c>
      <c r="C49" t="str">
        <f>HYPERLINK("https://www.senado.gob.ar/parlamentario/comisiones/verExp/88.26/PE/AC","2026")</f>
        <v>2026</v>
      </c>
      <c r="D49" t="s">
        <v>68</v>
      </c>
      <c r="E49" t="s">
        <v>182</v>
      </c>
      <c r="F49" t="s">
        <v>183</v>
      </c>
      <c r="H49" t="s">
        <v>177</v>
      </c>
      <c r="I49" t="s">
        <v>184</v>
      </c>
      <c r="K49" t="s">
        <v>85</v>
      </c>
      <c r="L49" t="s">
        <v>184</v>
      </c>
      <c r="O49">
        <v>71</v>
      </c>
      <c r="P49" t="s">
        <v>75</v>
      </c>
      <c r="Q49" t="s">
        <v>185</v>
      </c>
      <c r="R49" t="s">
        <v>86</v>
      </c>
      <c r="AI49" t="str">
        <f>HYPERLINK("https://www.senado.gob.ar/parlamentario/parlamentaria/ordenDelDiaResultadoLink/2026/98"," 98 2026 AP -")</f>
        <v xml:space="preserve"> 98 2026 AP -</v>
      </c>
      <c r="AJ49" t="s">
        <v>60</v>
      </c>
      <c r="AK49" t="s">
        <v>54</v>
      </c>
      <c r="AM49" t="s">
        <v>177</v>
      </c>
    </row>
    <row r="50" spans="1:39" x14ac:dyDescent="0.25">
      <c r="A50" t="s">
        <v>67</v>
      </c>
      <c r="B50" t="str">
        <f>HYPERLINK("https://www.senado.gob.ar/parlamentario/comisiones/verExp/87.26/PE/AC","87")</f>
        <v>87</v>
      </c>
      <c r="C50" t="str">
        <f>HYPERLINK("https://www.senado.gob.ar/parlamentario/comisiones/verExp/87.26/PE/AC","2026")</f>
        <v>2026</v>
      </c>
      <c r="D50" t="s">
        <v>68</v>
      </c>
      <c r="E50" t="s">
        <v>186</v>
      </c>
      <c r="F50" t="s">
        <v>183</v>
      </c>
      <c r="H50" t="s">
        <v>177</v>
      </c>
      <c r="I50" t="s">
        <v>184</v>
      </c>
      <c r="K50" t="s">
        <v>85</v>
      </c>
      <c r="L50" t="s">
        <v>184</v>
      </c>
      <c r="O50">
        <v>71</v>
      </c>
      <c r="P50" t="s">
        <v>75</v>
      </c>
      <c r="Q50" t="s">
        <v>185</v>
      </c>
      <c r="R50" t="s">
        <v>86</v>
      </c>
      <c r="AI50" t="str">
        <f>HYPERLINK("https://www.senado.gob.ar/parlamentario/parlamentaria/ordenDelDiaResultadoLink/2026/97"," 97 2026 AP -")</f>
        <v xml:space="preserve"> 97 2026 AP -</v>
      </c>
      <c r="AJ50" t="s">
        <v>60</v>
      </c>
      <c r="AK50" t="s">
        <v>54</v>
      </c>
      <c r="AM50" t="s">
        <v>177</v>
      </c>
    </row>
    <row r="51" spans="1:39" x14ac:dyDescent="0.25">
      <c r="A51" t="s">
        <v>67</v>
      </c>
      <c r="B51" t="str">
        <f>HYPERLINK("https://www.senado.gob.ar/parlamentario/comisiones/verExp/86.26/PE/AC","86")</f>
        <v>86</v>
      </c>
      <c r="C51" t="str">
        <f>HYPERLINK("https://www.senado.gob.ar/parlamentario/comisiones/verExp/86.26/PE/AC","2026")</f>
        <v>2026</v>
      </c>
      <c r="D51" t="s">
        <v>68</v>
      </c>
      <c r="E51" t="s">
        <v>187</v>
      </c>
      <c r="F51" t="s">
        <v>183</v>
      </c>
      <c r="H51" t="s">
        <v>177</v>
      </c>
      <c r="I51" t="s">
        <v>184</v>
      </c>
      <c r="K51" t="s">
        <v>85</v>
      </c>
      <c r="L51" t="s">
        <v>184</v>
      </c>
      <c r="O51">
        <v>71</v>
      </c>
      <c r="P51" t="s">
        <v>75</v>
      </c>
      <c r="Q51" t="s">
        <v>185</v>
      </c>
      <c r="R51" t="s">
        <v>86</v>
      </c>
      <c r="AI51" t="str">
        <f>HYPERLINK("https://www.senado.gob.ar/parlamentario/parlamentaria/ordenDelDiaResultadoLink/2026/96"," 96 2026 AP -")</f>
        <v xml:space="preserve"> 96 2026 AP -</v>
      </c>
      <c r="AJ51" t="s">
        <v>60</v>
      </c>
      <c r="AK51" t="s">
        <v>54</v>
      </c>
      <c r="AM51" t="s">
        <v>177</v>
      </c>
    </row>
    <row r="52" spans="1:39" x14ac:dyDescent="0.25">
      <c r="A52" t="s">
        <v>67</v>
      </c>
      <c r="B52" t="str">
        <f>HYPERLINK("https://www.senado.gob.ar/parlamentario/comisiones/verExp/85.26/PE/AC","85")</f>
        <v>85</v>
      </c>
      <c r="C52" t="str">
        <f>HYPERLINK("https://www.senado.gob.ar/parlamentario/comisiones/verExp/85.26/PE/AC","2026")</f>
        <v>2026</v>
      </c>
      <c r="D52" t="s">
        <v>68</v>
      </c>
      <c r="E52" t="s">
        <v>188</v>
      </c>
      <c r="F52" t="s">
        <v>189</v>
      </c>
      <c r="H52" t="s">
        <v>177</v>
      </c>
      <c r="I52" t="s">
        <v>190</v>
      </c>
      <c r="K52" t="s">
        <v>85</v>
      </c>
      <c r="L52" t="s">
        <v>190</v>
      </c>
      <c r="O52">
        <v>71</v>
      </c>
      <c r="P52" t="s">
        <v>75</v>
      </c>
      <c r="Q52" t="s">
        <v>191</v>
      </c>
      <c r="R52" t="s">
        <v>86</v>
      </c>
      <c r="AI52" t="str">
        <f>HYPERLINK("https://www.senado.gob.ar/parlamentario/parlamentaria/ordenDelDiaResultadoLink/2026/95"," 95 2026 AP -")</f>
        <v xml:space="preserve"> 95 2026 AP -</v>
      </c>
      <c r="AJ52" t="s">
        <v>60</v>
      </c>
      <c r="AK52" t="s">
        <v>54</v>
      </c>
      <c r="AM52" t="s">
        <v>177</v>
      </c>
    </row>
    <row r="53" spans="1:39" x14ac:dyDescent="0.25">
      <c r="A53" t="s">
        <v>67</v>
      </c>
      <c r="B53" t="str">
        <f>HYPERLINK("https://www.senado.gob.ar/parlamentario/comisiones/verExp/84.26/PE/AC","84")</f>
        <v>84</v>
      </c>
      <c r="C53" t="str">
        <f>HYPERLINK("https://www.senado.gob.ar/parlamentario/comisiones/verExp/84.26/PE/AC","2026")</f>
        <v>2026</v>
      </c>
      <c r="D53" t="s">
        <v>68</v>
      </c>
      <c r="E53" t="s">
        <v>192</v>
      </c>
      <c r="F53" t="s">
        <v>189</v>
      </c>
      <c r="I53" t="s">
        <v>190</v>
      </c>
      <c r="K53" t="s">
        <v>90</v>
      </c>
      <c r="L53" t="s">
        <v>190</v>
      </c>
      <c r="O53">
        <v>71</v>
      </c>
      <c r="P53" t="s">
        <v>75</v>
      </c>
      <c r="Q53" t="s">
        <v>191</v>
      </c>
      <c r="R53" t="s">
        <v>193</v>
      </c>
      <c r="AI53" t="str">
        <f>HYPERLINK("https://www.senado.gob.ar/parlamentario/parlamentaria/ordenDelDiaResultadoLink/2026/87"," 87 2026 AP -")</f>
        <v xml:space="preserve"> 87 2026 AP -</v>
      </c>
      <c r="AJ53" t="s">
        <v>60</v>
      </c>
      <c r="AK53" t="s">
        <v>54</v>
      </c>
    </row>
    <row r="54" spans="1:39" x14ac:dyDescent="0.25">
      <c r="A54" t="s">
        <v>67</v>
      </c>
      <c r="B54" t="str">
        <f>HYPERLINK("https://www.senado.gob.ar/parlamentario/comisiones/verExp/83.26/PE/AC","83")</f>
        <v>83</v>
      </c>
      <c r="C54" t="str">
        <f>HYPERLINK("https://www.senado.gob.ar/parlamentario/comisiones/verExp/83.26/PE/AC","2026")</f>
        <v>2026</v>
      </c>
      <c r="D54" t="s">
        <v>68</v>
      </c>
      <c r="E54" t="s">
        <v>194</v>
      </c>
      <c r="F54" t="s">
        <v>189</v>
      </c>
      <c r="H54" t="s">
        <v>177</v>
      </c>
      <c r="I54" t="s">
        <v>190</v>
      </c>
      <c r="K54" t="s">
        <v>90</v>
      </c>
      <c r="L54" t="s">
        <v>190</v>
      </c>
      <c r="O54">
        <v>71</v>
      </c>
      <c r="P54" t="s">
        <v>75</v>
      </c>
      <c r="Q54" t="s">
        <v>191</v>
      </c>
      <c r="R54" t="s">
        <v>193</v>
      </c>
      <c r="AI54" t="str">
        <f>HYPERLINK("https://www.senado.gob.ar/parlamentario/parlamentaria/ordenDelDiaResultadoLink/2026/86"," 86 2026 AP -")</f>
        <v xml:space="preserve"> 86 2026 AP -</v>
      </c>
      <c r="AJ54" t="s">
        <v>60</v>
      </c>
      <c r="AK54" t="s">
        <v>54</v>
      </c>
      <c r="AM54" t="s">
        <v>177</v>
      </c>
    </row>
    <row r="55" spans="1:39" x14ac:dyDescent="0.25">
      <c r="A55" t="s">
        <v>67</v>
      </c>
      <c r="B55" t="str">
        <f>HYPERLINK("https://www.senado.gob.ar/parlamentario/comisiones/verExp/82.26/PE/AC","82")</f>
        <v>82</v>
      </c>
      <c r="C55" t="str">
        <f>HYPERLINK("https://www.senado.gob.ar/parlamentario/comisiones/verExp/82.26/PE/AC","2026")</f>
        <v>2026</v>
      </c>
      <c r="D55" t="s">
        <v>68</v>
      </c>
      <c r="E55" t="s">
        <v>195</v>
      </c>
      <c r="F55" t="s">
        <v>189</v>
      </c>
      <c r="H55" t="s">
        <v>177</v>
      </c>
      <c r="I55" t="s">
        <v>190</v>
      </c>
      <c r="K55" t="s">
        <v>90</v>
      </c>
      <c r="L55" t="s">
        <v>190</v>
      </c>
      <c r="O55">
        <v>71</v>
      </c>
      <c r="P55" t="s">
        <v>75</v>
      </c>
      <c r="Q55" t="s">
        <v>191</v>
      </c>
      <c r="R55" t="s">
        <v>193</v>
      </c>
      <c r="AI55" t="str">
        <f>HYPERLINK("https://www.senado.gob.ar/parlamentario/parlamentaria/ordenDelDiaResultadoLink/2026/85"," 85 2026 AP -")</f>
        <v xml:space="preserve"> 85 2026 AP -</v>
      </c>
      <c r="AJ55" t="s">
        <v>60</v>
      </c>
      <c r="AK55" t="s">
        <v>54</v>
      </c>
      <c r="AM55" t="s">
        <v>177</v>
      </c>
    </row>
    <row r="56" spans="1:39" x14ac:dyDescent="0.25">
      <c r="A56" t="s">
        <v>67</v>
      </c>
      <c r="B56" t="str">
        <f>HYPERLINK("https://www.senado.gob.ar/parlamentario/comisiones/verExp/81.26/PE/AC","81")</f>
        <v>81</v>
      </c>
      <c r="C56" t="str">
        <f>HYPERLINK("https://www.senado.gob.ar/parlamentario/comisiones/verExp/81.26/PE/AC","2026")</f>
        <v>2026</v>
      </c>
      <c r="D56" t="s">
        <v>68</v>
      </c>
      <c r="E56" t="s">
        <v>196</v>
      </c>
      <c r="F56" t="s">
        <v>189</v>
      </c>
      <c r="H56" t="s">
        <v>177</v>
      </c>
      <c r="I56" t="s">
        <v>190</v>
      </c>
      <c r="K56" t="s">
        <v>90</v>
      </c>
      <c r="L56" t="s">
        <v>190</v>
      </c>
      <c r="O56">
        <v>71</v>
      </c>
      <c r="P56" t="s">
        <v>75</v>
      </c>
      <c r="Q56" t="s">
        <v>191</v>
      </c>
      <c r="R56" t="s">
        <v>193</v>
      </c>
      <c r="AI56" t="str">
        <f>HYPERLINK("https://www.senado.gob.ar/parlamentario/parlamentaria/ordenDelDiaResultadoLink/2026/84"," 84 2026 AP -")</f>
        <v xml:space="preserve"> 84 2026 AP -</v>
      </c>
      <c r="AJ56" t="s">
        <v>60</v>
      </c>
      <c r="AK56" t="s">
        <v>54</v>
      </c>
      <c r="AM56" t="s">
        <v>177</v>
      </c>
    </row>
    <row r="57" spans="1:39" x14ac:dyDescent="0.25">
      <c r="A57" t="s">
        <v>67</v>
      </c>
      <c r="B57" t="str">
        <f>HYPERLINK("https://www.senado.gob.ar/parlamentario/comisiones/verExp/80.26/PE/AC","80")</f>
        <v>80</v>
      </c>
      <c r="C57" t="str">
        <f>HYPERLINK("https://www.senado.gob.ar/parlamentario/comisiones/verExp/80.26/PE/AC","2026")</f>
        <v>2026</v>
      </c>
      <c r="D57" t="s">
        <v>68</v>
      </c>
      <c r="E57" t="s">
        <v>197</v>
      </c>
      <c r="F57" t="s">
        <v>189</v>
      </c>
      <c r="H57" t="s">
        <v>177</v>
      </c>
      <c r="I57" t="s">
        <v>190</v>
      </c>
      <c r="K57" t="s">
        <v>85</v>
      </c>
      <c r="L57" t="s">
        <v>190</v>
      </c>
      <c r="O57">
        <v>71</v>
      </c>
      <c r="P57" t="s">
        <v>75</v>
      </c>
      <c r="Q57" t="s">
        <v>191</v>
      </c>
      <c r="R57" t="s">
        <v>86</v>
      </c>
      <c r="AI57" t="str">
        <f>HYPERLINK("https://www.senado.gob.ar/parlamentario/parlamentaria/ordenDelDiaResultadoLink/2026/94"," 94 2026 AP -")</f>
        <v xml:space="preserve"> 94 2026 AP -</v>
      </c>
      <c r="AJ57" t="s">
        <v>60</v>
      </c>
      <c r="AK57" t="s">
        <v>54</v>
      </c>
      <c r="AM57" t="s">
        <v>177</v>
      </c>
    </row>
    <row r="58" spans="1:39" x14ac:dyDescent="0.25">
      <c r="A58" t="s">
        <v>67</v>
      </c>
      <c r="B58" t="str">
        <f>HYPERLINK("https://www.senado.gob.ar/parlamentario/comisiones/verExp/79.26/PE/AC","79")</f>
        <v>79</v>
      </c>
      <c r="C58" t="str">
        <f>HYPERLINK("https://www.senado.gob.ar/parlamentario/comisiones/verExp/79.26/PE/AC","2026")</f>
        <v>2026</v>
      </c>
      <c r="D58" t="s">
        <v>68</v>
      </c>
      <c r="E58" t="s">
        <v>198</v>
      </c>
      <c r="F58" t="s">
        <v>189</v>
      </c>
      <c r="H58" t="s">
        <v>177</v>
      </c>
      <c r="I58" t="s">
        <v>190</v>
      </c>
      <c r="K58" t="s">
        <v>85</v>
      </c>
      <c r="L58" t="s">
        <v>190</v>
      </c>
      <c r="O58">
        <v>71</v>
      </c>
      <c r="P58" t="s">
        <v>75</v>
      </c>
      <c r="Q58" t="s">
        <v>191</v>
      </c>
      <c r="R58" t="s">
        <v>86</v>
      </c>
      <c r="AI58" t="str">
        <f>HYPERLINK("https://www.senado.gob.ar/parlamentario/parlamentaria/ordenDelDiaResultadoLink/2026/93"," 93 2026 AP -")</f>
        <v xml:space="preserve"> 93 2026 AP -</v>
      </c>
      <c r="AJ58" t="s">
        <v>60</v>
      </c>
      <c r="AK58" t="s">
        <v>54</v>
      </c>
      <c r="AM58" t="s">
        <v>177</v>
      </c>
    </row>
    <row r="59" spans="1:39" x14ac:dyDescent="0.25">
      <c r="A59" t="s">
        <v>67</v>
      </c>
      <c r="B59" t="str">
        <f>HYPERLINK("https://www.senado.gob.ar/parlamentario/comisiones/verExp/78.26/PE/AC","78")</f>
        <v>78</v>
      </c>
      <c r="C59" t="str">
        <f>HYPERLINK("https://www.senado.gob.ar/parlamentario/comisiones/verExp/78.26/PE/AC","2026")</f>
        <v>2026</v>
      </c>
      <c r="D59" t="s">
        <v>68</v>
      </c>
      <c r="E59" t="s">
        <v>199</v>
      </c>
      <c r="F59" t="s">
        <v>189</v>
      </c>
      <c r="H59" t="s">
        <v>177</v>
      </c>
      <c r="I59" t="s">
        <v>190</v>
      </c>
      <c r="K59" t="s">
        <v>90</v>
      </c>
      <c r="L59" t="s">
        <v>190</v>
      </c>
      <c r="O59">
        <v>71</v>
      </c>
      <c r="P59" t="s">
        <v>75</v>
      </c>
      <c r="Q59" t="s">
        <v>191</v>
      </c>
      <c r="R59" t="s">
        <v>193</v>
      </c>
      <c r="AI59" t="str">
        <f>HYPERLINK("https://www.senado.gob.ar/parlamentario/parlamentaria/ordenDelDiaResultadoLink/2026/83"," 83 2026 AP -")</f>
        <v xml:space="preserve"> 83 2026 AP -</v>
      </c>
      <c r="AJ59" t="s">
        <v>60</v>
      </c>
      <c r="AK59" t="s">
        <v>54</v>
      </c>
      <c r="AM59" t="s">
        <v>177</v>
      </c>
    </row>
    <row r="60" spans="1:39" x14ac:dyDescent="0.25">
      <c r="A60" t="s">
        <v>67</v>
      </c>
      <c r="B60" t="str">
        <f>HYPERLINK("https://www.senado.gob.ar/parlamentario/comisiones/verExp/77.26/PE/AC","77")</f>
        <v>77</v>
      </c>
      <c r="C60" t="str">
        <f>HYPERLINK("https://www.senado.gob.ar/parlamentario/comisiones/verExp/77.26/PE/AC","2026")</f>
        <v>2026</v>
      </c>
      <c r="D60" t="s">
        <v>68</v>
      </c>
      <c r="E60" t="s">
        <v>200</v>
      </c>
      <c r="F60" t="s">
        <v>189</v>
      </c>
      <c r="H60" t="s">
        <v>177</v>
      </c>
      <c r="I60" t="s">
        <v>190</v>
      </c>
      <c r="K60" t="s">
        <v>90</v>
      </c>
      <c r="L60" t="s">
        <v>190</v>
      </c>
      <c r="O60">
        <v>71</v>
      </c>
      <c r="P60" t="s">
        <v>75</v>
      </c>
      <c r="Q60" t="s">
        <v>191</v>
      </c>
      <c r="R60" t="s">
        <v>193</v>
      </c>
      <c r="AI60" t="str">
        <f>HYPERLINK("https://www.senado.gob.ar/parlamentario/parlamentaria/ordenDelDiaResultadoLink/2026/82"," 82 2026 AP -")</f>
        <v xml:space="preserve"> 82 2026 AP -</v>
      </c>
      <c r="AJ60" t="s">
        <v>60</v>
      </c>
      <c r="AK60" t="s">
        <v>54</v>
      </c>
      <c r="AM60" t="s">
        <v>177</v>
      </c>
    </row>
    <row r="61" spans="1:39" x14ac:dyDescent="0.25">
      <c r="A61" t="s">
        <v>67</v>
      </c>
      <c r="B61" t="str">
        <f>HYPERLINK("https://www.senado.gob.ar/parlamentario/comisiones/verExp/76.26/PE/AC","76")</f>
        <v>76</v>
      </c>
      <c r="C61" t="str">
        <f>HYPERLINK("https://www.senado.gob.ar/parlamentario/comisiones/verExp/76.26/PE/AC","2026")</f>
        <v>2026</v>
      </c>
      <c r="D61" t="s">
        <v>68</v>
      </c>
      <c r="E61" t="s">
        <v>201</v>
      </c>
      <c r="F61" t="s">
        <v>189</v>
      </c>
      <c r="H61" t="s">
        <v>177</v>
      </c>
      <c r="I61" t="s">
        <v>190</v>
      </c>
      <c r="K61" t="s">
        <v>97</v>
      </c>
      <c r="L61" t="s">
        <v>190</v>
      </c>
      <c r="O61">
        <v>71</v>
      </c>
      <c r="P61" t="s">
        <v>75</v>
      </c>
      <c r="Q61" t="s">
        <v>191</v>
      </c>
      <c r="R61" t="s">
        <v>98</v>
      </c>
      <c r="AI61" t="str">
        <f>HYPERLINK("https://www.senado.gob.ar/parlamentario/parlamentaria/ordenDelDiaResultadoLink/2026/58"," 58 2026 AP -")</f>
        <v xml:space="preserve"> 58 2026 AP -</v>
      </c>
      <c r="AJ61" t="s">
        <v>60</v>
      </c>
      <c r="AK61" t="s">
        <v>54</v>
      </c>
      <c r="AM61" t="s">
        <v>177</v>
      </c>
    </row>
    <row r="62" spans="1:39" x14ac:dyDescent="0.25">
      <c r="A62" t="s">
        <v>67</v>
      </c>
      <c r="B62" t="str">
        <f>HYPERLINK("https://www.senado.gob.ar/parlamentario/comisiones/verExp/75.26/PE/AC","75")</f>
        <v>75</v>
      </c>
      <c r="C62" t="str">
        <f>HYPERLINK("https://www.senado.gob.ar/parlamentario/comisiones/verExp/75.26/PE/AC","2026")</f>
        <v>2026</v>
      </c>
      <c r="D62" t="s">
        <v>68</v>
      </c>
      <c r="E62" t="s">
        <v>202</v>
      </c>
      <c r="F62" t="s">
        <v>203</v>
      </c>
      <c r="H62" t="s">
        <v>177</v>
      </c>
      <c r="I62" t="s">
        <v>204</v>
      </c>
      <c r="K62" t="s">
        <v>90</v>
      </c>
      <c r="L62" t="s">
        <v>204</v>
      </c>
      <c r="O62">
        <v>71</v>
      </c>
      <c r="P62" t="s">
        <v>75</v>
      </c>
      <c r="Q62" t="s">
        <v>205</v>
      </c>
      <c r="R62" t="s">
        <v>193</v>
      </c>
      <c r="AI62" t="str">
        <f>HYPERLINK("https://www.senado.gob.ar/parlamentario/parlamentaria/ordenDelDiaResultadoLink/2026/81"," 81 2026 AP -")</f>
        <v xml:space="preserve"> 81 2026 AP -</v>
      </c>
      <c r="AJ62" t="s">
        <v>60</v>
      </c>
      <c r="AK62" t="s">
        <v>54</v>
      </c>
      <c r="AM62" t="s">
        <v>177</v>
      </c>
    </row>
    <row r="63" spans="1:39" x14ac:dyDescent="0.25">
      <c r="A63" t="s">
        <v>67</v>
      </c>
      <c r="B63" t="str">
        <f>HYPERLINK("https://www.senado.gob.ar/parlamentario/comisiones/verExp/74.26/PE/PL","74")</f>
        <v>74</v>
      </c>
      <c r="C63" t="str">
        <f>HYPERLINK("https://www.senado.gob.ar/parlamentario/comisiones/verExp/74.26/PE/PL","2026")</f>
        <v>2026</v>
      </c>
      <c r="D63" t="s">
        <v>43</v>
      </c>
      <c r="E63" t="s">
        <v>206</v>
      </c>
      <c r="F63" t="s">
        <v>207</v>
      </c>
      <c r="I63" t="s">
        <v>204</v>
      </c>
      <c r="K63" t="s">
        <v>167</v>
      </c>
      <c r="L63" t="s">
        <v>204</v>
      </c>
      <c r="O63">
        <v>51</v>
      </c>
      <c r="P63" t="s">
        <v>169</v>
      </c>
      <c r="Q63" t="s">
        <v>205</v>
      </c>
      <c r="R63" t="s">
        <v>157</v>
      </c>
      <c r="AI63" t="str">
        <f>HYPERLINK("https://www.senado.gob.ar/parlamentario/parlamentaria/ordenDelDiaResultadoLink/2026/18"," 18 2026 AP -")</f>
        <v xml:space="preserve"> 18 2026 AP -</v>
      </c>
      <c r="AJ63" t="s">
        <v>208</v>
      </c>
      <c r="AK63" t="s">
        <v>54</v>
      </c>
    </row>
    <row r="64" spans="1:39" x14ac:dyDescent="0.25">
      <c r="A64" t="s">
        <v>67</v>
      </c>
      <c r="B64" t="str">
        <f>HYPERLINK("https://www.senado.gob.ar/parlamentario/comisiones/verExp/73.26/PE/AC","73")</f>
        <v>73</v>
      </c>
      <c r="C64" t="str">
        <f>HYPERLINK("https://www.senado.gob.ar/parlamentario/comisiones/verExp/73.26/PE/AC","2026")</f>
        <v>2026</v>
      </c>
      <c r="D64" t="s">
        <v>68</v>
      </c>
      <c r="E64" t="s">
        <v>209</v>
      </c>
      <c r="F64" t="s">
        <v>210</v>
      </c>
      <c r="H64" t="s">
        <v>177</v>
      </c>
      <c r="I64" t="s">
        <v>211</v>
      </c>
      <c r="K64" t="s">
        <v>97</v>
      </c>
      <c r="L64" t="s">
        <v>211</v>
      </c>
      <c r="O64">
        <v>71</v>
      </c>
      <c r="P64" t="s">
        <v>75</v>
      </c>
      <c r="Q64" t="s">
        <v>212</v>
      </c>
      <c r="R64" t="s">
        <v>98</v>
      </c>
      <c r="AI64" t="str">
        <f>HYPERLINK("https://www.senado.gob.ar/parlamentario/parlamentaria/ordenDelDiaResultadoLink/2026/57"," 57 2026 AP -")</f>
        <v xml:space="preserve"> 57 2026 AP -</v>
      </c>
      <c r="AJ64" t="s">
        <v>60</v>
      </c>
      <c r="AK64" t="s">
        <v>54</v>
      </c>
      <c r="AM64" t="s">
        <v>177</v>
      </c>
    </row>
    <row r="65" spans="1:39" x14ac:dyDescent="0.25">
      <c r="A65" t="s">
        <v>67</v>
      </c>
      <c r="B65" t="str">
        <f>HYPERLINK("https://www.senado.gob.ar/parlamentario/comisiones/verExp/72.26/PE/AC","72")</f>
        <v>72</v>
      </c>
      <c r="C65" t="str">
        <f>HYPERLINK("https://www.senado.gob.ar/parlamentario/comisiones/verExp/72.26/PE/AC","2026")</f>
        <v>2026</v>
      </c>
      <c r="D65" t="s">
        <v>68</v>
      </c>
      <c r="E65" t="s">
        <v>213</v>
      </c>
      <c r="F65" t="s">
        <v>210</v>
      </c>
      <c r="H65" t="s">
        <v>177</v>
      </c>
      <c r="I65" t="s">
        <v>211</v>
      </c>
      <c r="K65" t="s">
        <v>85</v>
      </c>
      <c r="L65" t="s">
        <v>211</v>
      </c>
      <c r="O65">
        <v>71</v>
      </c>
      <c r="P65" t="s">
        <v>75</v>
      </c>
      <c r="Q65" t="s">
        <v>212</v>
      </c>
      <c r="R65" t="s">
        <v>86</v>
      </c>
      <c r="AI65" t="str">
        <f>HYPERLINK("https://www.senado.gob.ar/parlamentario/parlamentaria/ordenDelDiaResultadoLink/2026/92"," 92 2026 AP -")</f>
        <v xml:space="preserve"> 92 2026 AP -</v>
      </c>
      <c r="AJ65" t="s">
        <v>60</v>
      </c>
      <c r="AK65" t="s">
        <v>54</v>
      </c>
      <c r="AM65" t="s">
        <v>177</v>
      </c>
    </row>
    <row r="66" spans="1:39" x14ac:dyDescent="0.25">
      <c r="A66" t="s">
        <v>67</v>
      </c>
      <c r="B66" t="str">
        <f>HYPERLINK("https://www.senado.gob.ar/parlamentario/comisiones/verExp/71.26/PE/AC","71")</f>
        <v>71</v>
      </c>
      <c r="C66" t="str">
        <f>HYPERLINK("https://www.senado.gob.ar/parlamentario/comisiones/verExp/71.26/PE/AC","2026")</f>
        <v>2026</v>
      </c>
      <c r="D66" t="s">
        <v>68</v>
      </c>
      <c r="E66" t="s">
        <v>214</v>
      </c>
      <c r="F66" t="s">
        <v>215</v>
      </c>
      <c r="H66" t="s">
        <v>177</v>
      </c>
      <c r="I66" t="s">
        <v>216</v>
      </c>
      <c r="K66" t="s">
        <v>90</v>
      </c>
      <c r="L66" t="s">
        <v>216</v>
      </c>
      <c r="O66">
        <v>71</v>
      </c>
      <c r="P66" t="s">
        <v>75</v>
      </c>
      <c r="Q66" t="s">
        <v>217</v>
      </c>
      <c r="R66" t="s">
        <v>193</v>
      </c>
      <c r="AI66" t="str">
        <f>HYPERLINK("https://www.senado.gob.ar/parlamentario/parlamentaria/ordenDelDiaResultadoLink/2026/80"," 80 2026 AP -")</f>
        <v xml:space="preserve"> 80 2026 AP -</v>
      </c>
      <c r="AJ66" t="s">
        <v>60</v>
      </c>
      <c r="AK66" t="s">
        <v>54</v>
      </c>
      <c r="AM66" t="s">
        <v>177</v>
      </c>
    </row>
    <row r="67" spans="1:39" x14ac:dyDescent="0.25">
      <c r="A67" t="s">
        <v>67</v>
      </c>
      <c r="B67" t="str">
        <f>HYPERLINK("https://www.senado.gob.ar/parlamentario/comisiones/verExp/70.26/PE/AC","70")</f>
        <v>70</v>
      </c>
      <c r="C67" t="str">
        <f>HYPERLINK("https://www.senado.gob.ar/parlamentario/comisiones/verExp/70.26/PE/AC","2026")</f>
        <v>2026</v>
      </c>
      <c r="D67" t="s">
        <v>68</v>
      </c>
      <c r="E67" t="s">
        <v>218</v>
      </c>
      <c r="F67" t="s">
        <v>215</v>
      </c>
      <c r="H67" t="s">
        <v>177</v>
      </c>
      <c r="I67" t="s">
        <v>216</v>
      </c>
      <c r="K67" t="s">
        <v>90</v>
      </c>
      <c r="L67" t="s">
        <v>216</v>
      </c>
      <c r="O67">
        <v>71</v>
      </c>
      <c r="P67" t="s">
        <v>75</v>
      </c>
      <c r="Q67" t="s">
        <v>217</v>
      </c>
      <c r="R67" t="s">
        <v>193</v>
      </c>
      <c r="AI67" t="str">
        <f>HYPERLINK("https://www.senado.gob.ar/parlamentario/parlamentaria/ordenDelDiaResultadoLink/2026/79"," 79 2026 AP -")</f>
        <v xml:space="preserve"> 79 2026 AP -</v>
      </c>
      <c r="AJ67" t="s">
        <v>60</v>
      </c>
      <c r="AK67" t="s">
        <v>54</v>
      </c>
      <c r="AM67" t="s">
        <v>177</v>
      </c>
    </row>
    <row r="68" spans="1:39" x14ac:dyDescent="0.25">
      <c r="A68" t="s">
        <v>67</v>
      </c>
      <c r="B68" t="str">
        <f>HYPERLINK("https://www.senado.gob.ar/parlamentario/comisiones/verExp/69.26/PE/AC","69")</f>
        <v>69</v>
      </c>
      <c r="C68" t="str">
        <f>HYPERLINK("https://www.senado.gob.ar/parlamentario/comisiones/verExp/69.26/PE/AC","2026")</f>
        <v>2026</v>
      </c>
      <c r="D68" t="s">
        <v>68</v>
      </c>
      <c r="E68" t="s">
        <v>219</v>
      </c>
      <c r="F68" t="s">
        <v>215</v>
      </c>
      <c r="H68" t="s">
        <v>177</v>
      </c>
      <c r="I68" t="s">
        <v>216</v>
      </c>
      <c r="K68" t="s">
        <v>90</v>
      </c>
      <c r="L68" t="s">
        <v>216</v>
      </c>
      <c r="O68">
        <v>71</v>
      </c>
      <c r="P68" t="s">
        <v>75</v>
      </c>
      <c r="Q68" t="s">
        <v>217</v>
      </c>
      <c r="R68" t="s">
        <v>193</v>
      </c>
      <c r="AI68" t="str">
        <f>HYPERLINK("https://www.senado.gob.ar/parlamentario/parlamentaria/ordenDelDiaResultadoLink/2026/78"," 78 2026 AP -")</f>
        <v xml:space="preserve"> 78 2026 AP -</v>
      </c>
      <c r="AJ68" t="s">
        <v>60</v>
      </c>
      <c r="AK68" t="s">
        <v>54</v>
      </c>
      <c r="AM68" t="s">
        <v>177</v>
      </c>
    </row>
    <row r="69" spans="1:39" x14ac:dyDescent="0.25">
      <c r="A69" t="s">
        <v>67</v>
      </c>
      <c r="B69" t="str">
        <f>HYPERLINK("https://www.senado.gob.ar/parlamentario/comisiones/verExp/68.26/PE/AC","68")</f>
        <v>68</v>
      </c>
      <c r="C69" t="str">
        <f>HYPERLINK("https://www.senado.gob.ar/parlamentario/comisiones/verExp/68.26/PE/AC","2026")</f>
        <v>2026</v>
      </c>
      <c r="D69" t="s">
        <v>68</v>
      </c>
      <c r="E69" t="s">
        <v>220</v>
      </c>
      <c r="F69" t="s">
        <v>215</v>
      </c>
      <c r="H69" t="s">
        <v>177</v>
      </c>
      <c r="I69" t="s">
        <v>216</v>
      </c>
      <c r="K69" t="s">
        <v>90</v>
      </c>
      <c r="L69" t="s">
        <v>216</v>
      </c>
      <c r="O69">
        <v>71</v>
      </c>
      <c r="P69" t="s">
        <v>75</v>
      </c>
      <c r="Q69" t="s">
        <v>217</v>
      </c>
      <c r="R69" t="s">
        <v>193</v>
      </c>
      <c r="AI69" t="str">
        <f>HYPERLINK("https://www.senado.gob.ar/parlamentario/parlamentaria/ordenDelDiaResultadoLink/2026/77"," 77 2026 AP -")</f>
        <v xml:space="preserve"> 77 2026 AP -</v>
      </c>
      <c r="AJ69" t="s">
        <v>60</v>
      </c>
      <c r="AK69" t="s">
        <v>54</v>
      </c>
      <c r="AM69" t="s">
        <v>177</v>
      </c>
    </row>
    <row r="70" spans="1:39" x14ac:dyDescent="0.25">
      <c r="A70" t="s">
        <v>67</v>
      </c>
      <c r="B70" t="str">
        <f>HYPERLINK("https://www.senado.gob.ar/parlamentario/comisiones/verExp/67.26/PE/AC","67")</f>
        <v>67</v>
      </c>
      <c r="C70" t="str">
        <f>HYPERLINK("https://www.senado.gob.ar/parlamentario/comisiones/verExp/67.26/PE/AC","2026")</f>
        <v>2026</v>
      </c>
      <c r="D70" t="s">
        <v>68</v>
      </c>
      <c r="E70" t="s">
        <v>221</v>
      </c>
      <c r="F70" t="s">
        <v>215</v>
      </c>
      <c r="H70" t="s">
        <v>177</v>
      </c>
      <c r="I70" t="s">
        <v>216</v>
      </c>
      <c r="K70" t="s">
        <v>90</v>
      </c>
      <c r="L70" t="s">
        <v>216</v>
      </c>
      <c r="O70">
        <v>71</v>
      </c>
      <c r="P70" t="s">
        <v>75</v>
      </c>
      <c r="Q70" t="s">
        <v>217</v>
      </c>
      <c r="R70" t="s">
        <v>193</v>
      </c>
      <c r="AI70" t="str">
        <f>HYPERLINK("https://www.senado.gob.ar/parlamentario/parlamentaria/ordenDelDiaResultadoLink/2026/76"," 76 2026 AP -")</f>
        <v xml:space="preserve"> 76 2026 AP -</v>
      </c>
      <c r="AJ70" t="s">
        <v>60</v>
      </c>
      <c r="AK70" t="s">
        <v>54</v>
      </c>
      <c r="AM70" t="s">
        <v>177</v>
      </c>
    </row>
    <row r="71" spans="1:39" x14ac:dyDescent="0.25">
      <c r="A71" t="s">
        <v>67</v>
      </c>
      <c r="B71" t="str">
        <f>HYPERLINK("https://www.senado.gob.ar/parlamentario/comisiones/verExp/66.26/PE/AC","66")</f>
        <v>66</v>
      </c>
      <c r="C71" t="str">
        <f>HYPERLINK("https://www.senado.gob.ar/parlamentario/comisiones/verExp/66.26/PE/AC","2026")</f>
        <v>2026</v>
      </c>
      <c r="D71" t="s">
        <v>68</v>
      </c>
      <c r="E71" t="s">
        <v>222</v>
      </c>
      <c r="F71" t="s">
        <v>215</v>
      </c>
      <c r="H71" t="s">
        <v>177</v>
      </c>
      <c r="I71" t="s">
        <v>216</v>
      </c>
      <c r="K71" t="s">
        <v>85</v>
      </c>
      <c r="L71" t="s">
        <v>216</v>
      </c>
      <c r="O71">
        <v>71</v>
      </c>
      <c r="P71" t="s">
        <v>75</v>
      </c>
      <c r="Q71" t="s">
        <v>217</v>
      </c>
      <c r="R71" t="s">
        <v>86</v>
      </c>
      <c r="AI71" t="str">
        <f>HYPERLINK("https://www.senado.gob.ar/parlamentario/parlamentaria/ordenDelDiaResultadoLink/2026/91"," 91 2026 AP -")</f>
        <v xml:space="preserve"> 91 2026 AP -</v>
      </c>
      <c r="AJ71" t="s">
        <v>60</v>
      </c>
      <c r="AK71" t="s">
        <v>54</v>
      </c>
      <c r="AM71" t="s">
        <v>177</v>
      </c>
    </row>
    <row r="72" spans="1:39" x14ac:dyDescent="0.25">
      <c r="A72" t="s">
        <v>67</v>
      </c>
      <c r="B72" t="str">
        <f>HYPERLINK("https://www.senado.gob.ar/parlamentario/comisiones/verExp/65.26/PE/AC","65")</f>
        <v>65</v>
      </c>
      <c r="C72" t="str">
        <f>HYPERLINK("https://www.senado.gob.ar/parlamentario/comisiones/verExp/65.26/PE/AC","2026")</f>
        <v>2026</v>
      </c>
      <c r="D72" t="s">
        <v>68</v>
      </c>
      <c r="E72" t="s">
        <v>223</v>
      </c>
      <c r="F72" t="s">
        <v>215</v>
      </c>
      <c r="H72" t="s">
        <v>177</v>
      </c>
      <c r="I72" t="s">
        <v>216</v>
      </c>
      <c r="K72" t="s">
        <v>90</v>
      </c>
      <c r="L72" t="s">
        <v>216</v>
      </c>
      <c r="O72">
        <v>71</v>
      </c>
      <c r="P72" t="s">
        <v>75</v>
      </c>
      <c r="Q72" t="s">
        <v>217</v>
      </c>
      <c r="R72" t="s">
        <v>193</v>
      </c>
      <c r="AI72" t="str">
        <f>HYPERLINK("https://www.senado.gob.ar/parlamentario/parlamentaria/ordenDelDiaResultadoLink/2026/75"," 75 2026 AP -")</f>
        <v xml:space="preserve"> 75 2026 AP -</v>
      </c>
      <c r="AJ72" t="s">
        <v>60</v>
      </c>
      <c r="AK72" t="s">
        <v>54</v>
      </c>
      <c r="AM72" t="s">
        <v>177</v>
      </c>
    </row>
    <row r="73" spans="1:39" x14ac:dyDescent="0.25">
      <c r="A73" t="s">
        <v>67</v>
      </c>
      <c r="B73" t="str">
        <f>HYPERLINK("https://www.senado.gob.ar/parlamentario/comisiones/verExp/64.26/PE/AC","64")</f>
        <v>64</v>
      </c>
      <c r="C73" t="str">
        <f>HYPERLINK("https://www.senado.gob.ar/parlamentario/comisiones/verExp/64.26/PE/AC","2026")</f>
        <v>2026</v>
      </c>
      <c r="D73" t="s">
        <v>68</v>
      </c>
      <c r="E73" t="s">
        <v>224</v>
      </c>
      <c r="F73" t="s">
        <v>215</v>
      </c>
      <c r="H73" t="s">
        <v>177</v>
      </c>
      <c r="I73" t="s">
        <v>216</v>
      </c>
      <c r="K73" t="s">
        <v>90</v>
      </c>
      <c r="L73" t="s">
        <v>216</v>
      </c>
      <c r="O73">
        <v>71</v>
      </c>
      <c r="P73" t="s">
        <v>75</v>
      </c>
      <c r="Q73" t="s">
        <v>217</v>
      </c>
      <c r="R73" t="s">
        <v>193</v>
      </c>
      <c r="AI73" t="str">
        <f>HYPERLINK("https://www.senado.gob.ar/parlamentario/parlamentaria/ordenDelDiaResultadoLink/2026/74"," 74 2026 AP -")</f>
        <v xml:space="preserve"> 74 2026 AP -</v>
      </c>
      <c r="AJ73" t="s">
        <v>60</v>
      </c>
      <c r="AK73" t="s">
        <v>54</v>
      </c>
      <c r="AM73" t="s">
        <v>177</v>
      </c>
    </row>
    <row r="74" spans="1:39" x14ac:dyDescent="0.25">
      <c r="A74" t="s">
        <v>67</v>
      </c>
      <c r="B74" t="str">
        <f>HYPERLINK("https://www.senado.gob.ar/parlamentario/comisiones/verExp/63.26/PE/AC","63")</f>
        <v>63</v>
      </c>
      <c r="C74" t="str">
        <f>HYPERLINK("https://www.senado.gob.ar/parlamentario/comisiones/verExp/63.26/PE/AC","2026")</f>
        <v>2026</v>
      </c>
      <c r="D74" t="s">
        <v>68</v>
      </c>
      <c r="E74" t="s">
        <v>225</v>
      </c>
      <c r="F74" t="s">
        <v>215</v>
      </c>
      <c r="H74" t="s">
        <v>177</v>
      </c>
      <c r="I74" t="s">
        <v>216</v>
      </c>
      <c r="K74" t="s">
        <v>90</v>
      </c>
      <c r="L74" t="s">
        <v>216</v>
      </c>
      <c r="O74">
        <v>71</v>
      </c>
      <c r="P74" t="s">
        <v>75</v>
      </c>
      <c r="Q74" t="s">
        <v>217</v>
      </c>
      <c r="R74" t="s">
        <v>193</v>
      </c>
      <c r="AI74" t="str">
        <f>HYPERLINK("https://www.senado.gob.ar/parlamentario/parlamentaria/ordenDelDiaResultadoLink/2026/73"," 73 2026 AP -")</f>
        <v xml:space="preserve"> 73 2026 AP -</v>
      </c>
      <c r="AJ74" t="s">
        <v>60</v>
      </c>
      <c r="AK74" t="s">
        <v>54</v>
      </c>
      <c r="AM74" t="s">
        <v>177</v>
      </c>
    </row>
    <row r="75" spans="1:39" x14ac:dyDescent="0.25">
      <c r="A75" t="s">
        <v>67</v>
      </c>
      <c r="B75" t="str">
        <f>HYPERLINK("https://www.senado.gob.ar/parlamentario/comisiones/verExp/62.26/PE/AC","62")</f>
        <v>62</v>
      </c>
      <c r="C75" t="str">
        <f>HYPERLINK("https://www.senado.gob.ar/parlamentario/comisiones/verExp/62.26/PE/AC","2026")</f>
        <v>2026</v>
      </c>
      <c r="D75" t="s">
        <v>68</v>
      </c>
      <c r="E75" t="s">
        <v>226</v>
      </c>
      <c r="F75" t="s">
        <v>215</v>
      </c>
      <c r="H75" t="s">
        <v>177</v>
      </c>
      <c r="I75" t="s">
        <v>216</v>
      </c>
      <c r="K75" t="s">
        <v>90</v>
      </c>
      <c r="L75" t="s">
        <v>216</v>
      </c>
      <c r="O75">
        <v>71</v>
      </c>
      <c r="P75" t="s">
        <v>75</v>
      </c>
      <c r="Q75" t="s">
        <v>217</v>
      </c>
      <c r="R75" t="s">
        <v>193</v>
      </c>
      <c r="AI75" t="str">
        <f>HYPERLINK("https://www.senado.gob.ar/parlamentario/parlamentaria/ordenDelDiaResultadoLink/2026/72"," 72 2026 AP -")</f>
        <v xml:space="preserve"> 72 2026 AP -</v>
      </c>
      <c r="AJ75" t="s">
        <v>60</v>
      </c>
      <c r="AK75" t="s">
        <v>54</v>
      </c>
      <c r="AM75" t="s">
        <v>177</v>
      </c>
    </row>
    <row r="76" spans="1:39" x14ac:dyDescent="0.25">
      <c r="A76" t="s">
        <v>67</v>
      </c>
      <c r="B76" t="str">
        <f>HYPERLINK("https://www.senado.gob.ar/parlamentario/comisiones/verExp/61.26/PE/AC","61")</f>
        <v>61</v>
      </c>
      <c r="C76" t="str">
        <f>HYPERLINK("https://www.senado.gob.ar/parlamentario/comisiones/verExp/61.26/PE/AC","2026")</f>
        <v>2026</v>
      </c>
      <c r="D76" t="s">
        <v>68</v>
      </c>
      <c r="E76" t="s">
        <v>227</v>
      </c>
      <c r="F76" t="s">
        <v>215</v>
      </c>
      <c r="H76" t="s">
        <v>177</v>
      </c>
      <c r="I76" t="s">
        <v>216</v>
      </c>
      <c r="K76" t="s">
        <v>90</v>
      </c>
      <c r="L76" t="s">
        <v>216</v>
      </c>
      <c r="O76">
        <v>71</v>
      </c>
      <c r="P76" t="s">
        <v>75</v>
      </c>
      <c r="Q76" t="s">
        <v>217</v>
      </c>
      <c r="R76" t="s">
        <v>193</v>
      </c>
      <c r="AI76" t="str">
        <f>HYPERLINK("https://www.senado.gob.ar/parlamentario/parlamentaria/ordenDelDiaResultadoLink/2026/71"," 71 2026 AP -")</f>
        <v xml:space="preserve"> 71 2026 AP -</v>
      </c>
      <c r="AJ76" t="s">
        <v>60</v>
      </c>
      <c r="AK76" t="s">
        <v>54</v>
      </c>
      <c r="AM76" t="s">
        <v>177</v>
      </c>
    </row>
    <row r="77" spans="1:39" x14ac:dyDescent="0.25">
      <c r="A77" t="s">
        <v>67</v>
      </c>
      <c r="B77" t="str">
        <f>HYPERLINK("https://www.senado.gob.ar/parlamentario/comisiones/verExp/60.26/PE/AC","60")</f>
        <v>60</v>
      </c>
      <c r="C77" t="str">
        <f>HYPERLINK("https://www.senado.gob.ar/parlamentario/comisiones/verExp/60.26/PE/AC","2026")</f>
        <v>2026</v>
      </c>
      <c r="D77" t="s">
        <v>68</v>
      </c>
      <c r="E77" t="s">
        <v>228</v>
      </c>
      <c r="F77" t="s">
        <v>215</v>
      </c>
      <c r="H77" t="s">
        <v>177</v>
      </c>
      <c r="I77" t="s">
        <v>216</v>
      </c>
      <c r="K77" t="s">
        <v>90</v>
      </c>
      <c r="L77" t="s">
        <v>216</v>
      </c>
      <c r="O77">
        <v>71</v>
      </c>
      <c r="P77" t="s">
        <v>75</v>
      </c>
      <c r="Q77" t="s">
        <v>217</v>
      </c>
      <c r="R77" t="s">
        <v>193</v>
      </c>
      <c r="AI77" t="str">
        <f>HYPERLINK("https://www.senado.gob.ar/parlamentario/parlamentaria/ordenDelDiaResultadoLink/2026/70"," 70 2026 AP -")</f>
        <v xml:space="preserve"> 70 2026 AP -</v>
      </c>
      <c r="AJ77" t="s">
        <v>60</v>
      </c>
      <c r="AK77" t="s">
        <v>54</v>
      </c>
      <c r="AM77" t="s">
        <v>177</v>
      </c>
    </row>
    <row r="78" spans="1:39" x14ac:dyDescent="0.25">
      <c r="A78" t="s">
        <v>67</v>
      </c>
      <c r="B78" t="str">
        <f>HYPERLINK("https://www.senado.gob.ar/parlamentario/comisiones/verExp/59.26/PE/AC","59")</f>
        <v>59</v>
      </c>
      <c r="C78" t="str">
        <f>HYPERLINK("https://www.senado.gob.ar/parlamentario/comisiones/verExp/59.26/PE/AC","2026")</f>
        <v>2026</v>
      </c>
      <c r="D78" t="s">
        <v>68</v>
      </c>
      <c r="E78" t="s">
        <v>229</v>
      </c>
      <c r="F78" t="s">
        <v>230</v>
      </c>
      <c r="H78" t="s">
        <v>177</v>
      </c>
      <c r="I78" t="s">
        <v>231</v>
      </c>
      <c r="K78" t="s">
        <v>90</v>
      </c>
      <c r="L78" t="s">
        <v>231</v>
      </c>
      <c r="O78">
        <v>71</v>
      </c>
      <c r="P78" t="s">
        <v>75</v>
      </c>
      <c r="Q78" t="s">
        <v>143</v>
      </c>
      <c r="R78" t="s">
        <v>193</v>
      </c>
      <c r="AI78" t="str">
        <f>HYPERLINK("https://www.senado.gob.ar/parlamentario/parlamentaria/ordenDelDiaResultadoLink/2026/69"," 69 2026 AP -")</f>
        <v xml:space="preserve"> 69 2026 AP -</v>
      </c>
      <c r="AJ78" t="s">
        <v>60</v>
      </c>
      <c r="AK78" t="s">
        <v>54</v>
      </c>
      <c r="AM78" t="s">
        <v>177</v>
      </c>
    </row>
    <row r="79" spans="1:39" x14ac:dyDescent="0.25">
      <c r="A79" t="s">
        <v>67</v>
      </c>
      <c r="B79" t="str">
        <f>HYPERLINK("https://www.senado.gob.ar/parlamentario/comisiones/verExp/58.26/PE/AC","58")</f>
        <v>58</v>
      </c>
      <c r="C79" t="str">
        <f>HYPERLINK("https://www.senado.gob.ar/parlamentario/comisiones/verExp/58.26/PE/AC","2026")</f>
        <v>2026</v>
      </c>
      <c r="D79" t="s">
        <v>68</v>
      </c>
      <c r="E79" t="s">
        <v>232</v>
      </c>
      <c r="F79" t="s">
        <v>230</v>
      </c>
      <c r="H79" t="s">
        <v>177</v>
      </c>
      <c r="I79" t="s">
        <v>231</v>
      </c>
      <c r="K79" t="s">
        <v>85</v>
      </c>
      <c r="L79" t="s">
        <v>231</v>
      </c>
      <c r="O79">
        <v>71</v>
      </c>
      <c r="P79" t="s">
        <v>75</v>
      </c>
      <c r="Q79" t="s">
        <v>143</v>
      </c>
      <c r="R79" t="s">
        <v>86</v>
      </c>
      <c r="AI79" t="str">
        <f>HYPERLINK("https://www.senado.gob.ar/parlamentario/parlamentaria/ordenDelDiaResultadoLink/2026/90"," 90 2026 AP -")</f>
        <v xml:space="preserve"> 90 2026 AP -</v>
      </c>
      <c r="AJ79" t="s">
        <v>60</v>
      </c>
      <c r="AK79" t="s">
        <v>54</v>
      </c>
      <c r="AM79" t="s">
        <v>177</v>
      </c>
    </row>
    <row r="80" spans="1:39" x14ac:dyDescent="0.25">
      <c r="A80" t="s">
        <v>67</v>
      </c>
      <c r="B80" t="str">
        <f>HYPERLINK("https://www.senado.gob.ar/parlamentario/comisiones/verExp/57.26/PE/AC","57")</f>
        <v>57</v>
      </c>
      <c r="C80" t="str">
        <f>HYPERLINK("https://www.senado.gob.ar/parlamentario/comisiones/verExp/57.26/PE/AC","2026")</f>
        <v>2026</v>
      </c>
      <c r="D80" t="s">
        <v>68</v>
      </c>
      <c r="E80" t="s">
        <v>233</v>
      </c>
      <c r="F80" t="s">
        <v>230</v>
      </c>
      <c r="H80" t="s">
        <v>177</v>
      </c>
      <c r="I80" t="s">
        <v>231</v>
      </c>
      <c r="K80" t="s">
        <v>90</v>
      </c>
      <c r="L80" t="s">
        <v>231</v>
      </c>
      <c r="O80">
        <v>71</v>
      </c>
      <c r="P80" t="s">
        <v>75</v>
      </c>
      <c r="Q80" t="s">
        <v>143</v>
      </c>
      <c r="R80" t="s">
        <v>193</v>
      </c>
      <c r="AI80" t="str">
        <f>HYPERLINK("https://www.senado.gob.ar/parlamentario/parlamentaria/ordenDelDiaResultadoLink/2026/68"," 68 2026 AP -")</f>
        <v xml:space="preserve"> 68 2026 AP -</v>
      </c>
      <c r="AJ80" t="s">
        <v>60</v>
      </c>
      <c r="AK80" t="s">
        <v>54</v>
      </c>
      <c r="AM80" t="s">
        <v>177</v>
      </c>
    </row>
    <row r="81" spans="1:39" x14ac:dyDescent="0.25">
      <c r="A81" t="s">
        <v>67</v>
      </c>
      <c r="B81" t="str">
        <f>HYPERLINK("https://www.senado.gob.ar/parlamentario/comisiones/verExp/56.26/PE/AC","56")</f>
        <v>56</v>
      </c>
      <c r="C81" t="str">
        <f>HYPERLINK("https://www.senado.gob.ar/parlamentario/comisiones/verExp/56.26/PE/AC","2026")</f>
        <v>2026</v>
      </c>
      <c r="D81" t="s">
        <v>68</v>
      </c>
      <c r="E81" t="s">
        <v>234</v>
      </c>
      <c r="F81" t="s">
        <v>230</v>
      </c>
      <c r="H81" t="s">
        <v>177</v>
      </c>
      <c r="I81" t="s">
        <v>231</v>
      </c>
      <c r="K81" t="s">
        <v>90</v>
      </c>
      <c r="L81" t="s">
        <v>231</v>
      </c>
      <c r="O81">
        <v>71</v>
      </c>
      <c r="P81" t="s">
        <v>75</v>
      </c>
      <c r="Q81" t="s">
        <v>143</v>
      </c>
      <c r="R81" t="s">
        <v>193</v>
      </c>
      <c r="AI81" t="str">
        <f>HYPERLINK("https://www.senado.gob.ar/parlamentario/parlamentaria/ordenDelDiaResultadoLink/2026/67"," 67 2026 AP -")</f>
        <v xml:space="preserve"> 67 2026 AP -</v>
      </c>
      <c r="AJ81" t="s">
        <v>60</v>
      </c>
      <c r="AK81" t="s">
        <v>54</v>
      </c>
      <c r="AM81" t="s">
        <v>177</v>
      </c>
    </row>
    <row r="82" spans="1:39" x14ac:dyDescent="0.25">
      <c r="A82" t="s">
        <v>67</v>
      </c>
      <c r="B82" t="str">
        <f>HYPERLINK("https://www.senado.gob.ar/parlamentario/comisiones/verExp/55.26/PE/AC","55")</f>
        <v>55</v>
      </c>
      <c r="C82" t="str">
        <f>HYPERLINK("https://www.senado.gob.ar/parlamentario/comisiones/verExp/55.26/PE/AC","2026")</f>
        <v>2026</v>
      </c>
      <c r="D82" t="s">
        <v>68</v>
      </c>
      <c r="E82" t="s">
        <v>235</v>
      </c>
      <c r="F82" t="s">
        <v>230</v>
      </c>
      <c r="H82" t="s">
        <v>177</v>
      </c>
      <c r="I82" t="s">
        <v>231</v>
      </c>
      <c r="K82" t="s">
        <v>97</v>
      </c>
      <c r="L82" t="s">
        <v>231</v>
      </c>
      <c r="O82">
        <v>71</v>
      </c>
      <c r="P82" t="s">
        <v>75</v>
      </c>
      <c r="Q82" t="s">
        <v>143</v>
      </c>
      <c r="R82" t="s">
        <v>98</v>
      </c>
      <c r="AI82" t="str">
        <f>HYPERLINK("https://www.senado.gob.ar/parlamentario/parlamentaria/ordenDelDiaResultadoLink/2026/56"," 56 2026 AP -")</f>
        <v xml:space="preserve"> 56 2026 AP -</v>
      </c>
      <c r="AJ82" t="s">
        <v>60</v>
      </c>
      <c r="AK82" t="s">
        <v>54</v>
      </c>
      <c r="AM82" t="s">
        <v>177</v>
      </c>
    </row>
    <row r="83" spans="1:39" x14ac:dyDescent="0.25">
      <c r="A83" t="s">
        <v>67</v>
      </c>
      <c r="B83" t="str">
        <f>HYPERLINK("https://www.senado.gob.ar/parlamentario/comisiones/verExp/54.26/PE/AC","54")</f>
        <v>54</v>
      </c>
      <c r="C83" t="str">
        <f>HYPERLINK("https://www.senado.gob.ar/parlamentario/comisiones/verExp/54.26/PE/AC","2026")</f>
        <v>2026</v>
      </c>
      <c r="D83" t="s">
        <v>68</v>
      </c>
      <c r="E83" t="s">
        <v>236</v>
      </c>
      <c r="F83" t="s">
        <v>230</v>
      </c>
      <c r="H83" t="s">
        <v>177</v>
      </c>
      <c r="I83" t="s">
        <v>231</v>
      </c>
      <c r="K83" t="s">
        <v>90</v>
      </c>
      <c r="L83" t="s">
        <v>231</v>
      </c>
      <c r="O83">
        <v>71</v>
      </c>
      <c r="P83" t="s">
        <v>75</v>
      </c>
      <c r="Q83" t="s">
        <v>143</v>
      </c>
      <c r="R83" t="s">
        <v>193</v>
      </c>
      <c r="AI83" t="str">
        <f>HYPERLINK("https://www.senado.gob.ar/parlamentario/parlamentaria/ordenDelDiaResultadoLink/2026/66"," 66 2026 AP -")</f>
        <v xml:space="preserve"> 66 2026 AP -</v>
      </c>
      <c r="AJ83" t="s">
        <v>60</v>
      </c>
      <c r="AK83" t="s">
        <v>54</v>
      </c>
      <c r="AM83" t="s">
        <v>177</v>
      </c>
    </row>
    <row r="84" spans="1:39" x14ac:dyDescent="0.25">
      <c r="A84" t="s">
        <v>67</v>
      </c>
      <c r="B84" t="str">
        <f>HYPERLINK("https://www.senado.gob.ar/parlamentario/comisiones/verExp/53.26/PE/AC","53")</f>
        <v>53</v>
      </c>
      <c r="C84" t="str">
        <f>HYPERLINK("https://www.senado.gob.ar/parlamentario/comisiones/verExp/53.26/PE/AC","2026")</f>
        <v>2026</v>
      </c>
      <c r="D84" t="s">
        <v>68</v>
      </c>
      <c r="E84" t="s">
        <v>237</v>
      </c>
      <c r="F84" t="s">
        <v>230</v>
      </c>
      <c r="H84" t="s">
        <v>177</v>
      </c>
      <c r="I84" t="s">
        <v>231</v>
      </c>
      <c r="K84" t="s">
        <v>90</v>
      </c>
      <c r="L84" t="s">
        <v>231</v>
      </c>
      <c r="O84">
        <v>71</v>
      </c>
      <c r="P84" t="s">
        <v>75</v>
      </c>
      <c r="Q84" t="s">
        <v>143</v>
      </c>
      <c r="R84" t="s">
        <v>193</v>
      </c>
      <c r="AI84" t="str">
        <f>HYPERLINK("https://www.senado.gob.ar/parlamentario/parlamentaria/ordenDelDiaResultadoLink/2026/65"," 65 2026 AP -")</f>
        <v xml:space="preserve"> 65 2026 AP -</v>
      </c>
      <c r="AJ84" t="s">
        <v>60</v>
      </c>
      <c r="AK84" t="s">
        <v>54</v>
      </c>
      <c r="AM84" t="s">
        <v>177</v>
      </c>
    </row>
    <row r="85" spans="1:39" x14ac:dyDescent="0.25">
      <c r="A85" t="s">
        <v>67</v>
      </c>
      <c r="B85" t="str">
        <f>HYPERLINK("https://www.senado.gob.ar/parlamentario/comisiones/verExp/52.26/PE/AC","52")</f>
        <v>52</v>
      </c>
      <c r="C85" t="str">
        <f>HYPERLINK("https://www.senado.gob.ar/parlamentario/comisiones/verExp/52.26/PE/AC","2026")</f>
        <v>2026</v>
      </c>
      <c r="D85" t="s">
        <v>68</v>
      </c>
      <c r="E85" t="s">
        <v>238</v>
      </c>
      <c r="F85" t="s">
        <v>230</v>
      </c>
      <c r="H85" t="s">
        <v>177</v>
      </c>
      <c r="I85" t="s">
        <v>231</v>
      </c>
      <c r="K85" t="s">
        <v>90</v>
      </c>
      <c r="L85" t="s">
        <v>231</v>
      </c>
      <c r="O85">
        <v>71</v>
      </c>
      <c r="P85" t="s">
        <v>75</v>
      </c>
      <c r="Q85" t="s">
        <v>143</v>
      </c>
      <c r="R85" t="s">
        <v>193</v>
      </c>
      <c r="AI85" t="str">
        <f>HYPERLINK("https://www.senado.gob.ar/parlamentario/parlamentaria/ordenDelDiaResultadoLink/2026/64"," 64 2026 AP -")</f>
        <v xml:space="preserve"> 64 2026 AP -</v>
      </c>
      <c r="AJ85" t="s">
        <v>60</v>
      </c>
      <c r="AK85" t="s">
        <v>54</v>
      </c>
      <c r="AM85" t="s">
        <v>177</v>
      </c>
    </row>
    <row r="86" spans="1:39" x14ac:dyDescent="0.25">
      <c r="A86" t="s">
        <v>67</v>
      </c>
      <c r="B86" t="str">
        <f>HYPERLINK("https://www.senado.gob.ar/parlamentario/comisiones/verExp/51.26/PE/AC","51")</f>
        <v>51</v>
      </c>
      <c r="C86" t="str">
        <f>HYPERLINK("https://www.senado.gob.ar/parlamentario/comisiones/verExp/51.26/PE/AC","2026")</f>
        <v>2026</v>
      </c>
      <c r="D86" t="s">
        <v>68</v>
      </c>
      <c r="E86" t="s">
        <v>239</v>
      </c>
      <c r="F86" t="s">
        <v>230</v>
      </c>
      <c r="H86" t="s">
        <v>177</v>
      </c>
      <c r="I86" t="s">
        <v>231</v>
      </c>
      <c r="K86" t="s">
        <v>97</v>
      </c>
      <c r="L86" t="s">
        <v>231</v>
      </c>
      <c r="O86">
        <v>71</v>
      </c>
      <c r="P86" t="s">
        <v>75</v>
      </c>
      <c r="Q86" t="s">
        <v>143</v>
      </c>
      <c r="R86" t="s">
        <v>98</v>
      </c>
      <c r="AI86" t="str">
        <f>HYPERLINK("https://www.senado.gob.ar/parlamentario/parlamentaria/ordenDelDiaResultadoLink/2026/55"," 55 2026 AP -")</f>
        <v xml:space="preserve"> 55 2026 AP -</v>
      </c>
      <c r="AJ86" t="s">
        <v>60</v>
      </c>
      <c r="AK86" t="s">
        <v>54</v>
      </c>
      <c r="AM86" t="s">
        <v>177</v>
      </c>
    </row>
    <row r="87" spans="1:39" x14ac:dyDescent="0.25">
      <c r="A87" t="s">
        <v>67</v>
      </c>
      <c r="B87" t="str">
        <f>HYPERLINK("https://www.senado.gob.ar/parlamentario/comisiones/verExp/50.26/PE/AC","50")</f>
        <v>50</v>
      </c>
      <c r="C87" t="str">
        <f>HYPERLINK("https://www.senado.gob.ar/parlamentario/comisiones/verExp/50.26/PE/AC","2026")</f>
        <v>2026</v>
      </c>
      <c r="D87" t="s">
        <v>68</v>
      </c>
      <c r="E87" t="s">
        <v>240</v>
      </c>
      <c r="F87" t="s">
        <v>230</v>
      </c>
      <c r="H87" t="s">
        <v>177</v>
      </c>
      <c r="I87" t="s">
        <v>231</v>
      </c>
      <c r="K87" t="s">
        <v>97</v>
      </c>
      <c r="L87" t="s">
        <v>231</v>
      </c>
      <c r="O87">
        <v>71</v>
      </c>
      <c r="P87" t="s">
        <v>75</v>
      </c>
      <c r="Q87" t="s">
        <v>143</v>
      </c>
      <c r="R87" t="s">
        <v>98</v>
      </c>
      <c r="AI87" t="str">
        <f>HYPERLINK("https://www.senado.gob.ar/parlamentario/parlamentaria/ordenDelDiaResultadoLink/2026/54"," 54 2026 AP -")</f>
        <v xml:space="preserve"> 54 2026 AP -</v>
      </c>
      <c r="AJ87" t="s">
        <v>60</v>
      </c>
      <c r="AK87" t="s">
        <v>54</v>
      </c>
      <c r="AM87" t="s">
        <v>177</v>
      </c>
    </row>
    <row r="88" spans="1:39" x14ac:dyDescent="0.25">
      <c r="A88" t="s">
        <v>67</v>
      </c>
      <c r="B88" t="str">
        <f>HYPERLINK("https://www.senado.gob.ar/parlamentario/comisiones/verExp/49.26/PE/AC","49")</f>
        <v>49</v>
      </c>
      <c r="C88" t="str">
        <f>HYPERLINK("https://www.senado.gob.ar/parlamentario/comisiones/verExp/49.26/PE/AC","2026")</f>
        <v>2026</v>
      </c>
      <c r="D88" t="s">
        <v>68</v>
      </c>
      <c r="E88" t="s">
        <v>241</v>
      </c>
      <c r="F88" t="s">
        <v>230</v>
      </c>
      <c r="H88" t="s">
        <v>177</v>
      </c>
      <c r="I88" t="s">
        <v>231</v>
      </c>
      <c r="K88" t="s">
        <v>97</v>
      </c>
      <c r="L88" t="s">
        <v>231</v>
      </c>
      <c r="O88">
        <v>71</v>
      </c>
      <c r="P88" t="s">
        <v>75</v>
      </c>
      <c r="Q88" t="s">
        <v>143</v>
      </c>
      <c r="R88" t="s">
        <v>98</v>
      </c>
      <c r="AI88" t="str">
        <f>HYPERLINK("https://www.senado.gob.ar/parlamentario/parlamentaria/ordenDelDiaResultadoLink/2026/53"," 53 2026 AP -")</f>
        <v xml:space="preserve"> 53 2026 AP -</v>
      </c>
      <c r="AJ88" t="s">
        <v>60</v>
      </c>
      <c r="AK88" t="s">
        <v>54</v>
      </c>
      <c r="AM88" t="s">
        <v>177</v>
      </c>
    </row>
    <row r="89" spans="1:39" x14ac:dyDescent="0.25">
      <c r="A89" t="s">
        <v>67</v>
      </c>
      <c r="B89" t="str">
        <f>HYPERLINK("https://www.senado.gob.ar/parlamentario/comisiones/verExp/48.26/PE/AC","48")</f>
        <v>48</v>
      </c>
      <c r="C89" t="str">
        <f>HYPERLINK("https://www.senado.gob.ar/parlamentario/comisiones/verExp/48.26/PE/AC","2026")</f>
        <v>2026</v>
      </c>
      <c r="D89" t="s">
        <v>68</v>
      </c>
      <c r="E89" t="s">
        <v>242</v>
      </c>
      <c r="F89" t="s">
        <v>230</v>
      </c>
      <c r="H89" t="s">
        <v>177</v>
      </c>
      <c r="I89" t="s">
        <v>231</v>
      </c>
      <c r="K89" t="s">
        <v>97</v>
      </c>
      <c r="L89" t="s">
        <v>231</v>
      </c>
      <c r="O89">
        <v>71</v>
      </c>
      <c r="P89" t="s">
        <v>75</v>
      </c>
      <c r="Q89" t="s">
        <v>143</v>
      </c>
      <c r="R89" t="s">
        <v>98</v>
      </c>
      <c r="AI89" t="str">
        <f>HYPERLINK("https://www.senado.gob.ar/parlamentario/parlamentaria/ordenDelDiaResultadoLink/2026/52"," 52 2026 AP -")</f>
        <v xml:space="preserve"> 52 2026 AP -</v>
      </c>
      <c r="AJ89" t="s">
        <v>60</v>
      </c>
      <c r="AK89" t="s">
        <v>54</v>
      </c>
      <c r="AM89" t="s">
        <v>177</v>
      </c>
    </row>
    <row r="90" spans="1:39" x14ac:dyDescent="0.25">
      <c r="A90" t="s">
        <v>67</v>
      </c>
      <c r="B90" t="str">
        <f>HYPERLINK("https://www.senado.gob.ar/parlamentario/comisiones/verExp/47.26/PE/AC","47")</f>
        <v>47</v>
      </c>
      <c r="C90" t="str">
        <f>HYPERLINK("https://www.senado.gob.ar/parlamentario/comisiones/verExp/47.26/PE/AC","2026")</f>
        <v>2026</v>
      </c>
      <c r="D90" t="s">
        <v>68</v>
      </c>
      <c r="E90" t="s">
        <v>243</v>
      </c>
      <c r="F90" t="s">
        <v>230</v>
      </c>
      <c r="H90" t="s">
        <v>177</v>
      </c>
      <c r="I90" t="s">
        <v>231</v>
      </c>
      <c r="K90" t="s">
        <v>97</v>
      </c>
      <c r="L90" t="s">
        <v>231</v>
      </c>
      <c r="O90">
        <v>71</v>
      </c>
      <c r="P90" t="s">
        <v>75</v>
      </c>
      <c r="Q90" t="s">
        <v>143</v>
      </c>
      <c r="R90" t="s">
        <v>98</v>
      </c>
      <c r="AI90" t="str">
        <f>HYPERLINK("https://www.senado.gob.ar/parlamentario/parlamentaria/ordenDelDiaResultadoLink/2026/51"," 51 2026 AP -")</f>
        <v xml:space="preserve"> 51 2026 AP -</v>
      </c>
      <c r="AJ90" t="s">
        <v>60</v>
      </c>
      <c r="AK90" t="s">
        <v>54</v>
      </c>
      <c r="AM90" t="s">
        <v>177</v>
      </c>
    </row>
    <row r="91" spans="1:39" x14ac:dyDescent="0.25">
      <c r="A91" t="s">
        <v>67</v>
      </c>
      <c r="B91" t="str">
        <f>HYPERLINK("https://www.senado.gob.ar/parlamentario/comisiones/verExp/46.26/PE/AC","46")</f>
        <v>46</v>
      </c>
      <c r="C91" t="str">
        <f>HYPERLINK("https://www.senado.gob.ar/parlamentario/comisiones/verExp/46.26/PE/AC","2026")</f>
        <v>2026</v>
      </c>
      <c r="D91" t="s">
        <v>68</v>
      </c>
      <c r="E91" t="s">
        <v>244</v>
      </c>
      <c r="F91" t="s">
        <v>230</v>
      </c>
      <c r="H91" t="s">
        <v>177</v>
      </c>
      <c r="I91" t="s">
        <v>231</v>
      </c>
      <c r="K91" t="s">
        <v>97</v>
      </c>
      <c r="L91" t="s">
        <v>231</v>
      </c>
      <c r="O91">
        <v>71</v>
      </c>
      <c r="P91" t="s">
        <v>75</v>
      </c>
      <c r="Q91" t="s">
        <v>143</v>
      </c>
      <c r="R91" t="s">
        <v>98</v>
      </c>
      <c r="AI91" t="str">
        <f>HYPERLINK("https://www.senado.gob.ar/parlamentario/parlamentaria/ordenDelDiaResultadoLink/2026/50"," 50 2026 AP -")</f>
        <v xml:space="preserve"> 50 2026 AP -</v>
      </c>
      <c r="AJ91" t="s">
        <v>60</v>
      </c>
      <c r="AK91" t="s">
        <v>54</v>
      </c>
      <c r="AM91" t="s">
        <v>177</v>
      </c>
    </row>
    <row r="92" spans="1:39" x14ac:dyDescent="0.25">
      <c r="A92" t="s">
        <v>67</v>
      </c>
      <c r="B92" t="str">
        <f>HYPERLINK("https://www.senado.gob.ar/parlamentario/comisiones/verExp/45.26/PE/AC","45")</f>
        <v>45</v>
      </c>
      <c r="C92" t="str">
        <f>HYPERLINK("https://www.senado.gob.ar/parlamentario/comisiones/verExp/45.26/PE/AC","2026")</f>
        <v>2026</v>
      </c>
      <c r="D92" t="s">
        <v>68</v>
      </c>
      <c r="E92" t="s">
        <v>245</v>
      </c>
      <c r="F92" t="s">
        <v>230</v>
      </c>
      <c r="H92" t="s">
        <v>177</v>
      </c>
      <c r="I92" t="s">
        <v>231</v>
      </c>
      <c r="K92" t="s">
        <v>85</v>
      </c>
      <c r="L92" t="s">
        <v>231</v>
      </c>
      <c r="O92">
        <v>71</v>
      </c>
      <c r="P92" t="s">
        <v>75</v>
      </c>
      <c r="Q92" t="s">
        <v>143</v>
      </c>
      <c r="R92" t="s">
        <v>86</v>
      </c>
      <c r="AI92" t="str">
        <f>HYPERLINK("https://www.senado.gob.ar/parlamentario/parlamentaria/ordenDelDiaResultadoLink/2026/89"," 89 2026 AP -")</f>
        <v xml:space="preserve"> 89 2026 AP -</v>
      </c>
      <c r="AJ92" t="s">
        <v>60</v>
      </c>
      <c r="AK92" t="s">
        <v>54</v>
      </c>
      <c r="AM92" t="s">
        <v>177</v>
      </c>
    </row>
    <row r="93" spans="1:39" x14ac:dyDescent="0.25">
      <c r="A93" t="s">
        <v>67</v>
      </c>
      <c r="B93" t="str">
        <f>HYPERLINK("https://www.senado.gob.ar/parlamentario/comisiones/verExp/44.26/PE/AC","44")</f>
        <v>44</v>
      </c>
      <c r="C93" t="str">
        <f>HYPERLINK("https://www.senado.gob.ar/parlamentario/comisiones/verExp/44.26/PE/AC","2026")</f>
        <v>2026</v>
      </c>
      <c r="D93" t="s">
        <v>68</v>
      </c>
      <c r="E93" t="s">
        <v>246</v>
      </c>
      <c r="F93" t="s">
        <v>230</v>
      </c>
      <c r="H93" t="s">
        <v>177</v>
      </c>
      <c r="I93" t="s">
        <v>231</v>
      </c>
      <c r="K93" t="s">
        <v>97</v>
      </c>
      <c r="L93" t="s">
        <v>231</v>
      </c>
      <c r="O93">
        <v>71</v>
      </c>
      <c r="P93" t="s">
        <v>75</v>
      </c>
      <c r="Q93" t="s">
        <v>143</v>
      </c>
      <c r="R93" t="s">
        <v>98</v>
      </c>
      <c r="AI93" t="str">
        <f>HYPERLINK("https://www.senado.gob.ar/parlamentario/parlamentaria/ordenDelDiaResultadoLink/2026/49"," 49 2026 AP -")</f>
        <v xml:space="preserve"> 49 2026 AP -</v>
      </c>
      <c r="AJ93" t="s">
        <v>60</v>
      </c>
      <c r="AK93" t="s">
        <v>54</v>
      </c>
      <c r="AM93" t="s">
        <v>177</v>
      </c>
    </row>
    <row r="94" spans="1:39" x14ac:dyDescent="0.25">
      <c r="A94" t="s">
        <v>67</v>
      </c>
      <c r="B94" t="str">
        <f>HYPERLINK("https://www.senado.gob.ar/parlamentario/comisiones/verExp/43.26/PE/AC","43")</f>
        <v>43</v>
      </c>
      <c r="C94" t="str">
        <f>HYPERLINK("https://www.senado.gob.ar/parlamentario/comisiones/verExp/43.26/PE/AC","2026")</f>
        <v>2026</v>
      </c>
      <c r="D94" t="s">
        <v>68</v>
      </c>
      <c r="E94" t="s">
        <v>247</v>
      </c>
      <c r="F94" t="s">
        <v>230</v>
      </c>
      <c r="H94" t="s">
        <v>177</v>
      </c>
      <c r="I94" t="s">
        <v>231</v>
      </c>
      <c r="K94" t="s">
        <v>97</v>
      </c>
      <c r="L94" t="s">
        <v>231</v>
      </c>
      <c r="O94">
        <v>71</v>
      </c>
      <c r="P94" t="s">
        <v>75</v>
      </c>
      <c r="Q94" t="s">
        <v>143</v>
      </c>
      <c r="R94" t="s">
        <v>98</v>
      </c>
      <c r="AI94" t="str">
        <f>HYPERLINK("https://www.senado.gob.ar/parlamentario/parlamentaria/ordenDelDiaResultadoLink/2026/48"," 48 2026 AP -")</f>
        <v xml:space="preserve"> 48 2026 AP -</v>
      </c>
      <c r="AJ94" t="s">
        <v>60</v>
      </c>
      <c r="AK94" t="s">
        <v>54</v>
      </c>
      <c r="AM94" t="s">
        <v>177</v>
      </c>
    </row>
    <row r="95" spans="1:39" x14ac:dyDescent="0.25">
      <c r="A95" t="s">
        <v>67</v>
      </c>
      <c r="B95" t="str">
        <f>HYPERLINK("https://www.senado.gob.ar/parlamentario/comisiones/verExp/42.26/PE/AC","42")</f>
        <v>42</v>
      </c>
      <c r="C95" t="str">
        <f>HYPERLINK("https://www.senado.gob.ar/parlamentario/comisiones/verExp/42.26/PE/AC","2026")</f>
        <v>2026</v>
      </c>
      <c r="D95" t="s">
        <v>68</v>
      </c>
      <c r="E95" t="s">
        <v>248</v>
      </c>
      <c r="F95" t="s">
        <v>230</v>
      </c>
      <c r="H95" t="s">
        <v>177</v>
      </c>
      <c r="I95" t="s">
        <v>231</v>
      </c>
      <c r="K95" t="s">
        <v>97</v>
      </c>
      <c r="L95" t="s">
        <v>231</v>
      </c>
      <c r="O95">
        <v>71</v>
      </c>
      <c r="P95" t="s">
        <v>75</v>
      </c>
      <c r="Q95" t="s">
        <v>143</v>
      </c>
      <c r="R95" t="s">
        <v>98</v>
      </c>
      <c r="AI95" t="str">
        <f>HYPERLINK("https://www.senado.gob.ar/parlamentario/parlamentaria/ordenDelDiaResultadoLink/2026/47"," 47 2026 AP -")</f>
        <v xml:space="preserve"> 47 2026 AP -</v>
      </c>
      <c r="AJ95" t="s">
        <v>60</v>
      </c>
      <c r="AK95" t="s">
        <v>54</v>
      </c>
      <c r="AM95" t="s">
        <v>177</v>
      </c>
    </row>
    <row r="96" spans="1:39" x14ac:dyDescent="0.25">
      <c r="A96" t="s">
        <v>67</v>
      </c>
      <c r="B96" t="str">
        <f>HYPERLINK("https://www.senado.gob.ar/parlamentario/comisiones/verExp/41.26/PE/AC","41")</f>
        <v>41</v>
      </c>
      <c r="C96" t="str">
        <f>HYPERLINK("https://www.senado.gob.ar/parlamentario/comisiones/verExp/41.26/PE/AC","2026")</f>
        <v>2026</v>
      </c>
      <c r="D96" t="s">
        <v>68</v>
      </c>
      <c r="E96" t="s">
        <v>249</v>
      </c>
      <c r="F96" t="s">
        <v>230</v>
      </c>
      <c r="H96" t="s">
        <v>177</v>
      </c>
      <c r="I96" t="s">
        <v>231</v>
      </c>
      <c r="K96" t="s">
        <v>97</v>
      </c>
      <c r="L96" t="s">
        <v>231</v>
      </c>
      <c r="O96">
        <v>71</v>
      </c>
      <c r="P96" t="s">
        <v>75</v>
      </c>
      <c r="Q96" t="s">
        <v>143</v>
      </c>
      <c r="R96" t="s">
        <v>98</v>
      </c>
      <c r="AI96" t="str">
        <f>HYPERLINK("https://www.senado.gob.ar/parlamentario/parlamentaria/ordenDelDiaResultadoLink/2026/46"," 46 2026 AP -")</f>
        <v xml:space="preserve"> 46 2026 AP -</v>
      </c>
      <c r="AJ96" t="s">
        <v>60</v>
      </c>
      <c r="AK96" t="s">
        <v>54</v>
      </c>
      <c r="AM96" t="s">
        <v>177</v>
      </c>
    </row>
    <row r="97" spans="1:39" x14ac:dyDescent="0.25">
      <c r="A97" t="s">
        <v>67</v>
      </c>
      <c r="B97" t="str">
        <f>HYPERLINK("https://www.senado.gob.ar/parlamentario/comisiones/verExp/40.26/PE/AC","40")</f>
        <v>40</v>
      </c>
      <c r="C97" t="str">
        <f>HYPERLINK("https://www.senado.gob.ar/parlamentario/comisiones/verExp/40.26/PE/AC","2026")</f>
        <v>2026</v>
      </c>
      <c r="D97" t="s">
        <v>68</v>
      </c>
      <c r="E97" t="s">
        <v>250</v>
      </c>
      <c r="F97" t="s">
        <v>230</v>
      </c>
      <c r="H97" t="s">
        <v>177</v>
      </c>
      <c r="I97" t="s">
        <v>231</v>
      </c>
      <c r="K97" t="s">
        <v>97</v>
      </c>
      <c r="L97" t="s">
        <v>231</v>
      </c>
      <c r="O97">
        <v>71</v>
      </c>
      <c r="P97" t="s">
        <v>75</v>
      </c>
      <c r="Q97" t="s">
        <v>143</v>
      </c>
      <c r="R97" t="s">
        <v>98</v>
      </c>
      <c r="AI97" t="str">
        <f>HYPERLINK("https://www.senado.gob.ar/parlamentario/parlamentaria/ordenDelDiaResultadoLink/2026/45"," 45 2026 AP -")</f>
        <v xml:space="preserve"> 45 2026 AP -</v>
      </c>
      <c r="AJ97" t="s">
        <v>60</v>
      </c>
      <c r="AK97" t="s">
        <v>54</v>
      </c>
      <c r="AM97" t="s">
        <v>177</v>
      </c>
    </row>
    <row r="98" spans="1:39" x14ac:dyDescent="0.25">
      <c r="A98" t="s">
        <v>67</v>
      </c>
      <c r="B98" t="str">
        <f>HYPERLINK("https://www.senado.gob.ar/parlamentario/comisiones/verExp/39.26/PE/AC","39")</f>
        <v>39</v>
      </c>
      <c r="C98" t="str">
        <f>HYPERLINK("https://www.senado.gob.ar/parlamentario/comisiones/verExp/39.26/PE/AC","2026")</f>
        <v>2026</v>
      </c>
      <c r="D98" t="s">
        <v>68</v>
      </c>
      <c r="E98" t="s">
        <v>251</v>
      </c>
      <c r="F98" t="s">
        <v>230</v>
      </c>
      <c r="H98" t="s">
        <v>177</v>
      </c>
      <c r="I98" t="s">
        <v>231</v>
      </c>
      <c r="K98" t="s">
        <v>97</v>
      </c>
      <c r="L98" t="s">
        <v>231</v>
      </c>
      <c r="O98">
        <v>71</v>
      </c>
      <c r="P98" t="s">
        <v>75</v>
      </c>
      <c r="Q98" t="s">
        <v>143</v>
      </c>
      <c r="R98" t="s">
        <v>98</v>
      </c>
      <c r="AI98" t="str">
        <f>HYPERLINK("https://www.senado.gob.ar/parlamentario/parlamentaria/ordenDelDiaResultadoLink/2026/44"," 44 2026 AP -")</f>
        <v xml:space="preserve"> 44 2026 AP -</v>
      </c>
      <c r="AJ98" t="s">
        <v>60</v>
      </c>
      <c r="AK98" t="s">
        <v>54</v>
      </c>
      <c r="AM98" t="s">
        <v>177</v>
      </c>
    </row>
    <row r="99" spans="1:39" x14ac:dyDescent="0.25">
      <c r="A99" t="s">
        <v>67</v>
      </c>
      <c r="B99" t="str">
        <f>HYPERLINK("https://www.senado.gob.ar/parlamentario/comisiones/verExp/38.26/PE/AC","38")</f>
        <v>38</v>
      </c>
      <c r="C99" t="str">
        <f>HYPERLINK("https://www.senado.gob.ar/parlamentario/comisiones/verExp/38.26/PE/AC","2026")</f>
        <v>2026</v>
      </c>
      <c r="D99" t="s">
        <v>68</v>
      </c>
      <c r="E99" t="s">
        <v>252</v>
      </c>
      <c r="F99" t="s">
        <v>230</v>
      </c>
      <c r="H99" t="s">
        <v>177</v>
      </c>
      <c r="I99" t="s">
        <v>231</v>
      </c>
      <c r="K99" t="s">
        <v>97</v>
      </c>
      <c r="L99" t="s">
        <v>231</v>
      </c>
      <c r="O99">
        <v>71</v>
      </c>
      <c r="P99" t="s">
        <v>75</v>
      </c>
      <c r="Q99" t="s">
        <v>143</v>
      </c>
      <c r="R99" t="s">
        <v>98</v>
      </c>
      <c r="AI99" t="str">
        <f>HYPERLINK("https://www.senado.gob.ar/parlamentario/parlamentaria/ordenDelDiaResultadoLink/2026/43"," 43 2026 AP -")</f>
        <v xml:space="preserve"> 43 2026 AP -</v>
      </c>
      <c r="AJ99" t="s">
        <v>60</v>
      </c>
      <c r="AK99" t="s">
        <v>54</v>
      </c>
      <c r="AM99" t="s">
        <v>177</v>
      </c>
    </row>
    <row r="100" spans="1:39" x14ac:dyDescent="0.25">
      <c r="A100" t="s">
        <v>67</v>
      </c>
      <c r="B100" t="str">
        <f>HYPERLINK("https://www.senado.gob.ar/parlamentario/comisiones/verExp/36.26/PE/AC","36")</f>
        <v>36</v>
      </c>
      <c r="C100" t="str">
        <f>HYPERLINK("https://www.senado.gob.ar/parlamentario/comisiones/verExp/36.26/PE/AC","2026")</f>
        <v>2026</v>
      </c>
      <c r="D100" t="s">
        <v>68</v>
      </c>
      <c r="E100" t="s">
        <v>253</v>
      </c>
      <c r="F100" t="s">
        <v>230</v>
      </c>
      <c r="H100" t="s">
        <v>177</v>
      </c>
      <c r="I100" t="s">
        <v>231</v>
      </c>
      <c r="K100" t="s">
        <v>90</v>
      </c>
      <c r="L100" t="s">
        <v>231</v>
      </c>
      <c r="O100">
        <v>71</v>
      </c>
      <c r="P100" t="s">
        <v>75</v>
      </c>
      <c r="Q100" t="s">
        <v>143</v>
      </c>
      <c r="R100" t="s">
        <v>193</v>
      </c>
      <c r="AI100" t="str">
        <f>HYPERLINK("https://www.senado.gob.ar/parlamentario/parlamentaria/ordenDelDiaResultadoLink/2026/63"," 63 2026 AP -")</f>
        <v xml:space="preserve"> 63 2026 AP -</v>
      </c>
      <c r="AJ100" t="s">
        <v>60</v>
      </c>
      <c r="AK100" t="s">
        <v>54</v>
      </c>
      <c r="AM100" t="s">
        <v>177</v>
      </c>
    </row>
    <row r="101" spans="1:39" x14ac:dyDescent="0.25">
      <c r="A101" t="s">
        <v>67</v>
      </c>
      <c r="B101" t="str">
        <f>HYPERLINK("https://www.senado.gob.ar/parlamentario/comisiones/verExp/34.26/PE/AC","34")</f>
        <v>34</v>
      </c>
      <c r="C101" t="str">
        <f>HYPERLINK("https://www.senado.gob.ar/parlamentario/comisiones/verExp/34.26/PE/AC","2026")</f>
        <v>2026</v>
      </c>
      <c r="D101" t="s">
        <v>68</v>
      </c>
      <c r="E101" t="s">
        <v>254</v>
      </c>
      <c r="F101" t="s">
        <v>230</v>
      </c>
      <c r="I101" t="s">
        <v>231</v>
      </c>
      <c r="K101" t="s">
        <v>255</v>
      </c>
      <c r="L101" t="s">
        <v>256</v>
      </c>
      <c r="O101">
        <v>71</v>
      </c>
      <c r="P101" t="s">
        <v>75</v>
      </c>
      <c r="Q101" t="s">
        <v>143</v>
      </c>
      <c r="R101" t="s">
        <v>86</v>
      </c>
      <c r="S101">
        <v>71</v>
      </c>
      <c r="T101" t="s">
        <v>75</v>
      </c>
      <c r="U101" t="s">
        <v>177</v>
      </c>
      <c r="AI101" t="str">
        <f>HYPERLINK("https://www.senado.gob.ar/parlamentario/parlamentaria/ordenDelDiaResultadoLink/2026/88"," 88 2026 AP -")</f>
        <v xml:space="preserve"> 88 2026 AP -</v>
      </c>
      <c r="AJ101" t="s">
        <v>60</v>
      </c>
      <c r="AK101" t="s">
        <v>54</v>
      </c>
    </row>
    <row r="102" spans="1:39" x14ac:dyDescent="0.25">
      <c r="A102" t="s">
        <v>67</v>
      </c>
      <c r="B102" t="str">
        <f>HYPERLINK("https://www.senado.gob.ar/parlamentario/comisiones/verExp/33.26/PE/AC","33")</f>
        <v>33</v>
      </c>
      <c r="C102" t="str">
        <f>HYPERLINK("https://www.senado.gob.ar/parlamentario/comisiones/verExp/33.26/PE/AC","2026")</f>
        <v>2026</v>
      </c>
      <c r="D102" t="s">
        <v>68</v>
      </c>
      <c r="E102" t="s">
        <v>257</v>
      </c>
      <c r="F102" t="s">
        <v>230</v>
      </c>
      <c r="H102" t="s">
        <v>177</v>
      </c>
      <c r="I102" t="s">
        <v>231</v>
      </c>
      <c r="K102" t="s">
        <v>97</v>
      </c>
      <c r="L102" t="s">
        <v>231</v>
      </c>
      <c r="O102">
        <v>71</v>
      </c>
      <c r="P102" t="s">
        <v>75</v>
      </c>
      <c r="Q102" t="s">
        <v>143</v>
      </c>
      <c r="R102" t="s">
        <v>98</v>
      </c>
      <c r="AI102" t="str">
        <f>HYPERLINK("https://www.senado.gob.ar/parlamentario/parlamentaria/ordenDelDiaResultadoLink/2026/42"," 42 2026 AP -")</f>
        <v xml:space="preserve"> 42 2026 AP -</v>
      </c>
      <c r="AJ102" t="s">
        <v>60</v>
      </c>
      <c r="AK102" t="s">
        <v>54</v>
      </c>
      <c r="AM102" t="s">
        <v>177</v>
      </c>
    </row>
    <row r="103" spans="1:39" x14ac:dyDescent="0.25">
      <c r="A103" t="s">
        <v>67</v>
      </c>
      <c r="B103" t="str">
        <f>HYPERLINK("https://www.senado.gob.ar/parlamentario/comisiones/verExp/32.26/PE/AC","32")</f>
        <v>32</v>
      </c>
      <c r="C103" t="str">
        <f>HYPERLINK("https://www.senado.gob.ar/parlamentario/comisiones/verExp/32.26/PE/AC","2026")</f>
        <v>2026</v>
      </c>
      <c r="D103" t="s">
        <v>68</v>
      </c>
      <c r="E103" t="s">
        <v>258</v>
      </c>
      <c r="F103" t="s">
        <v>230</v>
      </c>
      <c r="H103" t="s">
        <v>177</v>
      </c>
      <c r="I103" t="s">
        <v>231</v>
      </c>
      <c r="K103" t="s">
        <v>97</v>
      </c>
      <c r="L103" t="s">
        <v>231</v>
      </c>
      <c r="O103">
        <v>71</v>
      </c>
      <c r="P103" t="s">
        <v>75</v>
      </c>
      <c r="Q103" t="s">
        <v>143</v>
      </c>
      <c r="R103" t="s">
        <v>98</v>
      </c>
      <c r="AI103" t="str">
        <f>HYPERLINK("https://www.senado.gob.ar/parlamentario/parlamentaria/ordenDelDiaResultadoLink/2026/41"," 41 2026 AP -")</f>
        <v xml:space="preserve"> 41 2026 AP -</v>
      </c>
      <c r="AJ103" t="s">
        <v>60</v>
      </c>
      <c r="AK103" t="s">
        <v>54</v>
      </c>
      <c r="AM103" t="s">
        <v>177</v>
      </c>
    </row>
    <row r="104" spans="1:39" x14ac:dyDescent="0.25">
      <c r="A104" t="s">
        <v>67</v>
      </c>
      <c r="B104" t="str">
        <f>HYPERLINK("https://www.senado.gob.ar/parlamentario/comisiones/verExp/31.26/PE/AC","31")</f>
        <v>31</v>
      </c>
      <c r="C104" t="str">
        <f>HYPERLINK("https://www.senado.gob.ar/parlamentario/comisiones/verExp/31.26/PE/AC","2026")</f>
        <v>2026</v>
      </c>
      <c r="D104" t="s">
        <v>68</v>
      </c>
      <c r="E104" t="s">
        <v>259</v>
      </c>
      <c r="F104" t="s">
        <v>230</v>
      </c>
      <c r="H104" t="s">
        <v>177</v>
      </c>
      <c r="I104" t="s">
        <v>231</v>
      </c>
      <c r="K104" t="s">
        <v>260</v>
      </c>
      <c r="L104" t="s">
        <v>231</v>
      </c>
      <c r="O104">
        <v>71</v>
      </c>
      <c r="P104" t="s">
        <v>75</v>
      </c>
      <c r="Q104" t="s">
        <v>143</v>
      </c>
      <c r="R104" t="s">
        <v>261</v>
      </c>
      <c r="AI104" t="str">
        <f>HYPERLINK("https://www.senado.gob.ar/parlamentario/parlamentaria/ordenDelDiaResultadoLink/2026/112"," 112 2026 AP -")</f>
        <v xml:space="preserve"> 112 2026 AP -</v>
      </c>
      <c r="AJ104" t="s">
        <v>60</v>
      </c>
      <c r="AK104" t="s">
        <v>54</v>
      </c>
      <c r="AM104" t="s">
        <v>177</v>
      </c>
    </row>
    <row r="105" spans="1:39" x14ac:dyDescent="0.25">
      <c r="A105" t="s">
        <v>67</v>
      </c>
      <c r="B105" t="str">
        <f>HYPERLINK("https://www.senado.gob.ar/parlamentario/comisiones/verExp/30.26/PE/AC","30")</f>
        <v>30</v>
      </c>
      <c r="C105" t="str">
        <f>HYPERLINK("https://www.senado.gob.ar/parlamentario/comisiones/verExp/30.26/PE/AC","2026")</f>
        <v>2026</v>
      </c>
      <c r="D105" t="s">
        <v>68</v>
      </c>
      <c r="E105" t="s">
        <v>262</v>
      </c>
      <c r="F105" t="s">
        <v>230</v>
      </c>
      <c r="H105" t="s">
        <v>177</v>
      </c>
      <c r="I105" t="s">
        <v>231</v>
      </c>
      <c r="K105" t="s">
        <v>90</v>
      </c>
      <c r="L105" t="s">
        <v>231</v>
      </c>
      <c r="O105">
        <v>71</v>
      </c>
      <c r="P105" t="s">
        <v>75</v>
      </c>
      <c r="Q105" t="s">
        <v>143</v>
      </c>
      <c r="R105" t="s">
        <v>193</v>
      </c>
      <c r="AI105" t="str">
        <f>HYPERLINK("https://www.senado.gob.ar/parlamentario/parlamentaria/ordenDelDiaResultadoLink/2026/62"," 62 2026 AP -")</f>
        <v xml:space="preserve"> 62 2026 AP -</v>
      </c>
      <c r="AJ105" t="s">
        <v>60</v>
      </c>
      <c r="AK105" t="s">
        <v>54</v>
      </c>
      <c r="AM105" t="s">
        <v>177</v>
      </c>
    </row>
    <row r="106" spans="1:39" x14ac:dyDescent="0.25">
      <c r="A106" t="s">
        <v>67</v>
      </c>
      <c r="B106" t="str">
        <f>HYPERLINK("https://www.senado.gob.ar/parlamentario/comisiones/verExp/29.26/PE/AC","29")</f>
        <v>29</v>
      </c>
      <c r="C106" t="str">
        <f>HYPERLINK("https://www.senado.gob.ar/parlamentario/comisiones/verExp/29.26/PE/AC","2026")</f>
        <v>2026</v>
      </c>
      <c r="D106" t="s">
        <v>68</v>
      </c>
      <c r="E106" t="s">
        <v>263</v>
      </c>
      <c r="F106" t="s">
        <v>230</v>
      </c>
      <c r="H106" t="s">
        <v>177</v>
      </c>
      <c r="I106" t="s">
        <v>231</v>
      </c>
      <c r="K106" t="s">
        <v>97</v>
      </c>
      <c r="L106" t="s">
        <v>231</v>
      </c>
      <c r="O106">
        <v>71</v>
      </c>
      <c r="P106" t="s">
        <v>75</v>
      </c>
      <c r="Q106" t="s">
        <v>143</v>
      </c>
      <c r="R106" t="s">
        <v>98</v>
      </c>
      <c r="AI106" t="str">
        <f>HYPERLINK("https://www.senado.gob.ar/parlamentario/parlamentaria/ordenDelDiaResultadoLink/2026/40"," 40 2026 AP -")</f>
        <v xml:space="preserve"> 40 2026 AP -</v>
      </c>
      <c r="AJ106" t="s">
        <v>60</v>
      </c>
      <c r="AK106" t="s">
        <v>54</v>
      </c>
      <c r="AM106" t="s">
        <v>177</v>
      </c>
    </row>
    <row r="107" spans="1:39" x14ac:dyDescent="0.25">
      <c r="A107" t="s">
        <v>67</v>
      </c>
      <c r="B107" t="str">
        <f>HYPERLINK("https://www.senado.gob.ar/parlamentario/comisiones/verExp/28.26/PE/AC","28")</f>
        <v>28</v>
      </c>
      <c r="C107" t="str">
        <f>HYPERLINK("https://www.senado.gob.ar/parlamentario/comisiones/verExp/28.26/PE/AC","2026")</f>
        <v>2026</v>
      </c>
      <c r="D107" t="s">
        <v>68</v>
      </c>
      <c r="E107" t="s">
        <v>264</v>
      </c>
      <c r="F107" t="s">
        <v>230</v>
      </c>
      <c r="H107" t="s">
        <v>177</v>
      </c>
      <c r="I107" t="s">
        <v>231</v>
      </c>
      <c r="K107" t="s">
        <v>97</v>
      </c>
      <c r="L107" t="s">
        <v>231</v>
      </c>
      <c r="O107">
        <v>71</v>
      </c>
      <c r="P107" t="s">
        <v>75</v>
      </c>
      <c r="Q107" t="s">
        <v>143</v>
      </c>
      <c r="R107" t="s">
        <v>98</v>
      </c>
      <c r="AI107" t="str">
        <f>HYPERLINK("https://www.senado.gob.ar/parlamentario/parlamentaria/ordenDelDiaResultadoLink/2026/39"," 39 2026 AP -")</f>
        <v xml:space="preserve"> 39 2026 AP -</v>
      </c>
      <c r="AJ107" t="s">
        <v>60</v>
      </c>
      <c r="AK107" t="s">
        <v>54</v>
      </c>
      <c r="AM107" t="s">
        <v>177</v>
      </c>
    </row>
    <row r="108" spans="1:39" x14ac:dyDescent="0.25">
      <c r="A108" t="s">
        <v>67</v>
      </c>
      <c r="B108" t="str">
        <f>HYPERLINK("https://www.senado.gob.ar/parlamentario/comisiones/verExp/27.26/PE/AC","27")</f>
        <v>27</v>
      </c>
      <c r="C108" t="str">
        <f>HYPERLINK("https://www.senado.gob.ar/parlamentario/comisiones/verExp/27.26/PE/AC","2026")</f>
        <v>2026</v>
      </c>
      <c r="D108" t="s">
        <v>68</v>
      </c>
      <c r="E108" t="s">
        <v>265</v>
      </c>
      <c r="F108" t="s">
        <v>230</v>
      </c>
      <c r="H108" t="s">
        <v>177</v>
      </c>
      <c r="I108" t="s">
        <v>231</v>
      </c>
      <c r="K108" t="s">
        <v>90</v>
      </c>
      <c r="L108" t="s">
        <v>231</v>
      </c>
      <c r="O108">
        <v>71</v>
      </c>
      <c r="P108" t="s">
        <v>75</v>
      </c>
      <c r="Q108" t="s">
        <v>143</v>
      </c>
      <c r="R108" t="s">
        <v>193</v>
      </c>
      <c r="AI108" t="str">
        <f>HYPERLINK("https://www.senado.gob.ar/parlamentario/parlamentaria/ordenDelDiaResultadoLink/2026/61"," 61 2026 AP -")</f>
        <v xml:space="preserve"> 61 2026 AP -</v>
      </c>
      <c r="AJ108" t="s">
        <v>60</v>
      </c>
      <c r="AK108" t="s">
        <v>54</v>
      </c>
      <c r="AM108" t="s">
        <v>177</v>
      </c>
    </row>
    <row r="109" spans="1:39" x14ac:dyDescent="0.25">
      <c r="A109" t="s">
        <v>67</v>
      </c>
      <c r="B109" t="str">
        <f>HYPERLINK("https://www.senado.gob.ar/parlamentario/comisiones/verExp/26.26/PE/AC","26")</f>
        <v>26</v>
      </c>
      <c r="C109" t="str">
        <f>HYPERLINK("https://www.senado.gob.ar/parlamentario/comisiones/verExp/26.26/PE/AC","2026")</f>
        <v>2026</v>
      </c>
      <c r="D109" t="s">
        <v>68</v>
      </c>
      <c r="E109" t="s">
        <v>266</v>
      </c>
      <c r="F109" t="s">
        <v>230</v>
      </c>
      <c r="H109" t="s">
        <v>177</v>
      </c>
      <c r="I109" t="s">
        <v>231</v>
      </c>
      <c r="K109" t="s">
        <v>97</v>
      </c>
      <c r="L109" t="s">
        <v>231</v>
      </c>
      <c r="O109">
        <v>71</v>
      </c>
      <c r="P109" t="s">
        <v>75</v>
      </c>
      <c r="Q109" t="s">
        <v>143</v>
      </c>
      <c r="R109" t="s">
        <v>98</v>
      </c>
      <c r="AI109" t="str">
        <f>HYPERLINK("https://www.senado.gob.ar/parlamentario/parlamentaria/ordenDelDiaResultadoLink/2026/38"," 38 2026 AP -")</f>
        <v xml:space="preserve"> 38 2026 AP -</v>
      </c>
      <c r="AJ109" t="s">
        <v>60</v>
      </c>
      <c r="AK109" t="s">
        <v>54</v>
      </c>
      <c r="AM109" t="s">
        <v>177</v>
      </c>
    </row>
    <row r="110" spans="1:39" x14ac:dyDescent="0.25">
      <c r="A110" t="s">
        <v>67</v>
      </c>
      <c r="B110" t="str">
        <f>HYPERLINK("https://www.senado.gob.ar/parlamentario/comisiones/verExp/25.26/PE/AC","25")</f>
        <v>25</v>
      </c>
      <c r="C110" t="str">
        <f>HYPERLINK("https://www.senado.gob.ar/parlamentario/comisiones/verExp/25.26/PE/AC","2026")</f>
        <v>2026</v>
      </c>
      <c r="D110" t="s">
        <v>68</v>
      </c>
      <c r="E110" t="s">
        <v>267</v>
      </c>
      <c r="F110" t="s">
        <v>230</v>
      </c>
      <c r="H110" t="s">
        <v>177</v>
      </c>
      <c r="I110" t="s">
        <v>231</v>
      </c>
      <c r="K110" t="s">
        <v>97</v>
      </c>
      <c r="L110" t="s">
        <v>231</v>
      </c>
      <c r="O110">
        <v>71</v>
      </c>
      <c r="P110" t="s">
        <v>75</v>
      </c>
      <c r="Q110" t="s">
        <v>143</v>
      </c>
      <c r="R110" t="s">
        <v>98</v>
      </c>
      <c r="AI110" t="str">
        <f>HYPERLINK("https://www.senado.gob.ar/parlamentario/parlamentaria/ordenDelDiaResultadoLink/2026/37"," 37 2026 AP -")</f>
        <v xml:space="preserve"> 37 2026 AP -</v>
      </c>
      <c r="AJ110" t="s">
        <v>60</v>
      </c>
      <c r="AK110" t="s">
        <v>54</v>
      </c>
      <c r="AM110" t="s">
        <v>177</v>
      </c>
    </row>
    <row r="111" spans="1:39" x14ac:dyDescent="0.25">
      <c r="A111" t="s">
        <v>67</v>
      </c>
      <c r="B111" t="str">
        <f>HYPERLINK("https://www.senado.gob.ar/parlamentario/comisiones/verExp/24.26/PE/AC","24")</f>
        <v>24</v>
      </c>
      <c r="C111" t="str">
        <f>HYPERLINK("https://www.senado.gob.ar/parlamentario/comisiones/verExp/24.26/PE/AC","2026")</f>
        <v>2026</v>
      </c>
      <c r="D111" t="s">
        <v>68</v>
      </c>
      <c r="E111" t="s">
        <v>268</v>
      </c>
      <c r="F111" t="s">
        <v>230</v>
      </c>
      <c r="H111" t="s">
        <v>177</v>
      </c>
      <c r="I111" t="s">
        <v>231</v>
      </c>
      <c r="K111" t="s">
        <v>90</v>
      </c>
      <c r="L111" t="s">
        <v>231</v>
      </c>
      <c r="O111">
        <v>71</v>
      </c>
      <c r="P111" t="s">
        <v>75</v>
      </c>
      <c r="Q111" t="s">
        <v>143</v>
      </c>
      <c r="R111" t="s">
        <v>193</v>
      </c>
      <c r="AI111" t="str">
        <f>HYPERLINK("https://www.senado.gob.ar/parlamentario/parlamentaria/ordenDelDiaResultadoLink/2026/60"," 60 2026 AP -")</f>
        <v xml:space="preserve"> 60 2026 AP -</v>
      </c>
      <c r="AJ111" t="s">
        <v>60</v>
      </c>
      <c r="AK111" t="s">
        <v>54</v>
      </c>
      <c r="AM111" t="s">
        <v>177</v>
      </c>
    </row>
    <row r="112" spans="1:39" x14ac:dyDescent="0.25">
      <c r="A112" t="s">
        <v>67</v>
      </c>
      <c r="B112" t="str">
        <f>HYPERLINK("https://www.senado.gob.ar/parlamentario/comisiones/verExp/23.26/PE/AC","23")</f>
        <v>23</v>
      </c>
      <c r="C112" t="str">
        <f>HYPERLINK("https://www.senado.gob.ar/parlamentario/comisiones/verExp/23.26/PE/AC","2026")</f>
        <v>2026</v>
      </c>
      <c r="D112" t="s">
        <v>68</v>
      </c>
      <c r="E112" t="s">
        <v>269</v>
      </c>
      <c r="F112" t="s">
        <v>230</v>
      </c>
      <c r="H112" t="s">
        <v>177</v>
      </c>
      <c r="I112" t="s">
        <v>231</v>
      </c>
      <c r="K112" t="s">
        <v>97</v>
      </c>
      <c r="L112" t="s">
        <v>231</v>
      </c>
      <c r="O112">
        <v>71</v>
      </c>
      <c r="P112" t="s">
        <v>75</v>
      </c>
      <c r="Q112" t="s">
        <v>143</v>
      </c>
      <c r="R112" t="s">
        <v>98</v>
      </c>
      <c r="AI112" t="str">
        <f>HYPERLINK("https://www.senado.gob.ar/parlamentario/parlamentaria/ordenDelDiaResultadoLink/2026/36"," 36 2026 AP -")</f>
        <v xml:space="preserve"> 36 2026 AP -</v>
      </c>
      <c r="AJ112" t="s">
        <v>60</v>
      </c>
      <c r="AK112" t="s">
        <v>54</v>
      </c>
      <c r="AM112" t="s">
        <v>177</v>
      </c>
    </row>
    <row r="113" spans="1:39" x14ac:dyDescent="0.25">
      <c r="A113" t="s">
        <v>67</v>
      </c>
      <c r="B113" t="str">
        <f>HYPERLINK("https://www.senado.gob.ar/parlamentario/comisiones/verExp/22.26/PE/AC","22")</f>
        <v>22</v>
      </c>
      <c r="C113" t="str">
        <f>HYPERLINK("https://www.senado.gob.ar/parlamentario/comisiones/verExp/22.26/PE/AC","2026")</f>
        <v>2026</v>
      </c>
      <c r="D113" t="s">
        <v>68</v>
      </c>
      <c r="E113" t="s">
        <v>270</v>
      </c>
      <c r="F113" t="s">
        <v>230</v>
      </c>
      <c r="H113" t="s">
        <v>177</v>
      </c>
      <c r="I113" t="s">
        <v>231</v>
      </c>
      <c r="K113" t="s">
        <v>97</v>
      </c>
      <c r="L113" t="s">
        <v>231</v>
      </c>
      <c r="O113">
        <v>71</v>
      </c>
      <c r="P113" t="s">
        <v>75</v>
      </c>
      <c r="Q113" t="s">
        <v>143</v>
      </c>
      <c r="R113" t="s">
        <v>98</v>
      </c>
      <c r="AI113" t="str">
        <f>HYPERLINK("https://www.senado.gob.ar/parlamentario/parlamentaria/ordenDelDiaResultadoLink/2026/35"," 35 2026 AP -")</f>
        <v xml:space="preserve"> 35 2026 AP -</v>
      </c>
      <c r="AJ113" t="s">
        <v>60</v>
      </c>
      <c r="AK113" t="s">
        <v>54</v>
      </c>
      <c r="AM113" t="s">
        <v>177</v>
      </c>
    </row>
    <row r="114" spans="1:39" x14ac:dyDescent="0.25">
      <c r="A114" t="s">
        <v>67</v>
      </c>
      <c r="B114" t="str">
        <f>HYPERLINK("https://www.senado.gob.ar/parlamentario/comisiones/verExp/21.26/PE/AC","21")</f>
        <v>21</v>
      </c>
      <c r="C114" t="str">
        <f>HYPERLINK("https://www.senado.gob.ar/parlamentario/comisiones/verExp/21.26/PE/AC","2026")</f>
        <v>2026</v>
      </c>
      <c r="D114" t="s">
        <v>68</v>
      </c>
      <c r="E114" t="s">
        <v>271</v>
      </c>
      <c r="F114" t="s">
        <v>230</v>
      </c>
      <c r="H114" t="s">
        <v>177</v>
      </c>
      <c r="I114" t="s">
        <v>231</v>
      </c>
      <c r="K114" t="s">
        <v>97</v>
      </c>
      <c r="L114" t="s">
        <v>231</v>
      </c>
      <c r="O114">
        <v>71</v>
      </c>
      <c r="P114" t="s">
        <v>75</v>
      </c>
      <c r="Q114" t="s">
        <v>143</v>
      </c>
      <c r="R114" t="s">
        <v>98</v>
      </c>
      <c r="AI114" t="str">
        <f>HYPERLINK("https://www.senado.gob.ar/parlamentario/parlamentaria/ordenDelDiaResultadoLink/2026/34"," 34 2026 AP -")</f>
        <v xml:space="preserve"> 34 2026 AP -</v>
      </c>
      <c r="AJ114" t="s">
        <v>60</v>
      </c>
      <c r="AK114" t="s">
        <v>54</v>
      </c>
      <c r="AM114" t="s">
        <v>177</v>
      </c>
    </row>
    <row r="115" spans="1:39" x14ac:dyDescent="0.25">
      <c r="A115" t="s">
        <v>67</v>
      </c>
      <c r="B115" t="str">
        <f>HYPERLINK("https://www.senado.gob.ar/parlamentario/comisiones/verExp/20.26/PE/AC","20")</f>
        <v>20</v>
      </c>
      <c r="C115" t="str">
        <f>HYPERLINK("https://www.senado.gob.ar/parlamentario/comisiones/verExp/20.26/PE/AC","2026")</f>
        <v>2026</v>
      </c>
      <c r="D115" t="s">
        <v>68</v>
      </c>
      <c r="E115" t="s">
        <v>272</v>
      </c>
      <c r="F115" t="s">
        <v>230</v>
      </c>
      <c r="H115" t="s">
        <v>177</v>
      </c>
      <c r="I115" t="s">
        <v>231</v>
      </c>
      <c r="K115" t="s">
        <v>97</v>
      </c>
      <c r="L115" t="s">
        <v>231</v>
      </c>
      <c r="O115">
        <v>71</v>
      </c>
      <c r="P115" t="s">
        <v>75</v>
      </c>
      <c r="Q115" t="s">
        <v>143</v>
      </c>
      <c r="R115" t="s">
        <v>98</v>
      </c>
      <c r="AI115" t="str">
        <f>HYPERLINK("https://www.senado.gob.ar/parlamentario/parlamentaria/ordenDelDiaResultadoLink/2026/33"," 33 2026 AP -")</f>
        <v xml:space="preserve"> 33 2026 AP -</v>
      </c>
      <c r="AJ115" t="s">
        <v>60</v>
      </c>
      <c r="AK115" t="s">
        <v>54</v>
      </c>
      <c r="AM115" t="s">
        <v>177</v>
      </c>
    </row>
    <row r="116" spans="1:39" x14ac:dyDescent="0.25">
      <c r="A116" t="s">
        <v>67</v>
      </c>
      <c r="B116" t="str">
        <f>HYPERLINK("https://www.senado.gob.ar/parlamentario/comisiones/verExp/19.26/PE/AC","19")</f>
        <v>19</v>
      </c>
      <c r="C116" t="str">
        <f>HYPERLINK("https://www.senado.gob.ar/parlamentario/comisiones/verExp/19.26/PE/AC","2026")</f>
        <v>2026</v>
      </c>
      <c r="D116" t="s">
        <v>68</v>
      </c>
      <c r="E116" t="s">
        <v>273</v>
      </c>
      <c r="F116" t="s">
        <v>230</v>
      </c>
      <c r="H116" t="s">
        <v>177</v>
      </c>
      <c r="I116" t="s">
        <v>231</v>
      </c>
      <c r="K116" t="s">
        <v>97</v>
      </c>
      <c r="L116" t="s">
        <v>231</v>
      </c>
      <c r="O116">
        <v>71</v>
      </c>
      <c r="P116" t="s">
        <v>75</v>
      </c>
      <c r="Q116" t="s">
        <v>143</v>
      </c>
      <c r="R116" t="s">
        <v>98</v>
      </c>
      <c r="AI116" t="str">
        <f>HYPERLINK("https://www.senado.gob.ar/parlamentario/parlamentaria/ordenDelDiaResultadoLink/2026/32"," 32 2026 AP -")</f>
        <v xml:space="preserve"> 32 2026 AP -</v>
      </c>
      <c r="AJ116" t="s">
        <v>60</v>
      </c>
      <c r="AK116" t="s">
        <v>54</v>
      </c>
      <c r="AM116" t="s">
        <v>177</v>
      </c>
    </row>
    <row r="117" spans="1:39" x14ac:dyDescent="0.25">
      <c r="A117" t="s">
        <v>67</v>
      </c>
      <c r="B117" t="str">
        <f>HYPERLINK("https://www.senado.gob.ar/parlamentario/comisiones/verExp/18.26/PE/AC","18")</f>
        <v>18</v>
      </c>
      <c r="C117" t="str">
        <f>HYPERLINK("https://www.senado.gob.ar/parlamentario/comisiones/verExp/18.26/PE/AC","2026")</f>
        <v>2026</v>
      </c>
      <c r="D117" t="s">
        <v>68</v>
      </c>
      <c r="E117" t="s">
        <v>274</v>
      </c>
      <c r="F117" t="s">
        <v>230</v>
      </c>
      <c r="H117" t="s">
        <v>177</v>
      </c>
      <c r="I117" t="s">
        <v>231</v>
      </c>
      <c r="K117" t="s">
        <v>97</v>
      </c>
      <c r="L117" t="s">
        <v>231</v>
      </c>
      <c r="O117">
        <v>71</v>
      </c>
      <c r="P117" t="s">
        <v>75</v>
      </c>
      <c r="Q117" t="s">
        <v>143</v>
      </c>
      <c r="R117" t="s">
        <v>98</v>
      </c>
      <c r="AI117" t="str">
        <f>HYPERLINK("https://www.senado.gob.ar/parlamentario/parlamentaria/ordenDelDiaResultadoLink/2026/31"," 31 2026 AP -")</f>
        <v xml:space="preserve"> 31 2026 AP -</v>
      </c>
      <c r="AJ117" t="s">
        <v>60</v>
      </c>
      <c r="AK117" t="s">
        <v>54</v>
      </c>
      <c r="AM117" t="s">
        <v>177</v>
      </c>
    </row>
    <row r="118" spans="1:39" x14ac:dyDescent="0.25">
      <c r="A118" t="s">
        <v>67</v>
      </c>
      <c r="B118" t="str">
        <f>HYPERLINK("https://www.senado.gob.ar/parlamentario/comisiones/verExp/17.26/PE/AC","17")</f>
        <v>17</v>
      </c>
      <c r="C118" t="str">
        <f>HYPERLINK("https://www.senado.gob.ar/parlamentario/comisiones/verExp/17.26/PE/AC","2026")</f>
        <v>2026</v>
      </c>
      <c r="D118" t="s">
        <v>68</v>
      </c>
      <c r="E118" t="s">
        <v>275</v>
      </c>
      <c r="F118" t="s">
        <v>230</v>
      </c>
      <c r="H118" t="s">
        <v>177</v>
      </c>
      <c r="I118" t="s">
        <v>231</v>
      </c>
      <c r="K118" t="s">
        <v>97</v>
      </c>
      <c r="L118" t="s">
        <v>231</v>
      </c>
      <c r="O118">
        <v>71</v>
      </c>
      <c r="P118" t="s">
        <v>75</v>
      </c>
      <c r="Q118" t="s">
        <v>143</v>
      </c>
      <c r="R118" t="s">
        <v>98</v>
      </c>
      <c r="AI118" t="str">
        <f>HYPERLINK("https://www.senado.gob.ar/parlamentario/parlamentaria/ordenDelDiaResultadoLink/2026/30"," 30 2026 AP -")</f>
        <v xml:space="preserve"> 30 2026 AP -</v>
      </c>
      <c r="AJ118" t="s">
        <v>60</v>
      </c>
      <c r="AK118" t="s">
        <v>54</v>
      </c>
      <c r="AM118" t="s">
        <v>177</v>
      </c>
    </row>
    <row r="119" spans="1:39" x14ac:dyDescent="0.25">
      <c r="A119" t="s">
        <v>67</v>
      </c>
      <c r="B119" t="str">
        <f>HYPERLINK("https://www.senado.gob.ar/parlamentario/comisiones/verExp/16.26/PE/AC","16")</f>
        <v>16</v>
      </c>
      <c r="C119" t="str">
        <f>HYPERLINK("https://www.senado.gob.ar/parlamentario/comisiones/verExp/16.26/PE/AC","2026")</f>
        <v>2026</v>
      </c>
      <c r="D119" t="s">
        <v>68</v>
      </c>
      <c r="E119" t="s">
        <v>276</v>
      </c>
      <c r="F119" t="s">
        <v>230</v>
      </c>
      <c r="H119" t="s">
        <v>177</v>
      </c>
      <c r="I119" t="s">
        <v>231</v>
      </c>
      <c r="K119" t="s">
        <v>90</v>
      </c>
      <c r="L119" t="s">
        <v>231</v>
      </c>
      <c r="O119">
        <v>71</v>
      </c>
      <c r="P119" t="s">
        <v>75</v>
      </c>
      <c r="Q119" t="s">
        <v>143</v>
      </c>
      <c r="R119" t="s">
        <v>193</v>
      </c>
      <c r="AI119" t="str">
        <f>HYPERLINK("https://www.senado.gob.ar/parlamentario/parlamentaria/ordenDelDiaResultadoLink/2026/59"," 59 2026 AP -")</f>
        <v xml:space="preserve"> 59 2026 AP -</v>
      </c>
      <c r="AJ119" t="s">
        <v>60</v>
      </c>
      <c r="AK119" t="s">
        <v>54</v>
      </c>
      <c r="AM119" t="s">
        <v>177</v>
      </c>
    </row>
    <row r="120" spans="1:39" x14ac:dyDescent="0.25">
      <c r="A120" t="s">
        <v>67</v>
      </c>
      <c r="B120" t="str">
        <f>HYPERLINK("https://www.senado.gob.ar/parlamentario/comisiones/verExp/15.26/PE/AC","15")</f>
        <v>15</v>
      </c>
      <c r="C120" t="str">
        <f>HYPERLINK("https://www.senado.gob.ar/parlamentario/comisiones/verExp/15.26/PE/AC","2026")</f>
        <v>2026</v>
      </c>
      <c r="D120" t="s">
        <v>68</v>
      </c>
      <c r="E120" t="s">
        <v>277</v>
      </c>
      <c r="F120" t="s">
        <v>230</v>
      </c>
      <c r="H120" t="s">
        <v>177</v>
      </c>
      <c r="I120" t="s">
        <v>231</v>
      </c>
      <c r="K120" t="s">
        <v>97</v>
      </c>
      <c r="L120" t="s">
        <v>231</v>
      </c>
      <c r="O120">
        <v>71</v>
      </c>
      <c r="P120" t="s">
        <v>75</v>
      </c>
      <c r="Q120" t="s">
        <v>143</v>
      </c>
      <c r="R120" t="s">
        <v>98</v>
      </c>
      <c r="AI120" t="str">
        <f>HYPERLINK("https://www.senado.gob.ar/parlamentario/parlamentaria/ordenDelDiaResultadoLink/2026/29"," 29 2026 AP -")</f>
        <v xml:space="preserve"> 29 2026 AP -</v>
      </c>
      <c r="AJ120" t="s">
        <v>60</v>
      </c>
      <c r="AK120" t="s">
        <v>54</v>
      </c>
      <c r="AM120" t="s">
        <v>177</v>
      </c>
    </row>
    <row r="121" spans="1:39" x14ac:dyDescent="0.25">
      <c r="A121" t="s">
        <v>67</v>
      </c>
      <c r="B121" t="str">
        <f>HYPERLINK("https://www.senado.gob.ar/parlamentario/comisiones/verExp/13.26/PE/PL","13")</f>
        <v>13</v>
      </c>
      <c r="C121" t="str">
        <f>HYPERLINK("https://www.senado.gob.ar/parlamentario/comisiones/verExp/13.26/PE/PL","2026")</f>
        <v>2026</v>
      </c>
      <c r="D121" t="s">
        <v>43</v>
      </c>
      <c r="E121" t="s">
        <v>278</v>
      </c>
      <c r="F121" t="s">
        <v>279</v>
      </c>
      <c r="I121" t="s">
        <v>63</v>
      </c>
      <c r="K121" t="s">
        <v>280</v>
      </c>
      <c r="L121" t="s">
        <v>281</v>
      </c>
      <c r="O121">
        <v>50</v>
      </c>
      <c r="P121" t="s">
        <v>147</v>
      </c>
      <c r="Q121" t="s">
        <v>205</v>
      </c>
      <c r="R121" t="s">
        <v>58</v>
      </c>
      <c r="S121">
        <v>53</v>
      </c>
      <c r="T121" t="s">
        <v>282</v>
      </c>
      <c r="U121" t="s">
        <v>205</v>
      </c>
      <c r="V121" t="s">
        <v>58</v>
      </c>
      <c r="AI121" t="str">
        <f>HYPERLINK("https://www.senado.gob.ar/parlamentario/parlamentaria/ordenDelDiaResultadoLink/2026/104"," 104 2026 AM -")</f>
        <v xml:space="preserve"> 104 2026 AM -</v>
      </c>
      <c r="AJ121" t="s">
        <v>283</v>
      </c>
      <c r="AK121" t="s">
        <v>54</v>
      </c>
    </row>
    <row r="122" spans="1:39" x14ac:dyDescent="0.25">
      <c r="A122" t="s">
        <v>67</v>
      </c>
      <c r="B122" t="str">
        <f>HYPERLINK("https://www.senado.gob.ar/parlamentario/comisiones/verExp/9.26/PE/AC","9")</f>
        <v>9</v>
      </c>
      <c r="C122" t="str">
        <f>HYPERLINK("https://www.senado.gob.ar/parlamentario/comisiones/verExp/9.26/PE/AC","2026")</f>
        <v>2026</v>
      </c>
      <c r="D122" t="s">
        <v>68</v>
      </c>
      <c r="E122" t="s">
        <v>284</v>
      </c>
      <c r="F122" t="s">
        <v>285</v>
      </c>
      <c r="H122" t="s">
        <v>286</v>
      </c>
      <c r="I122" t="s">
        <v>287</v>
      </c>
      <c r="K122" t="s">
        <v>288</v>
      </c>
      <c r="L122" t="s">
        <v>287</v>
      </c>
      <c r="O122">
        <v>71</v>
      </c>
      <c r="P122" t="s">
        <v>75</v>
      </c>
      <c r="Q122" t="s">
        <v>289</v>
      </c>
      <c r="R122" t="s">
        <v>290</v>
      </c>
      <c r="AI122" t="str">
        <f>HYPERLINK("https://www.senado.gob.ar/parlamentario/parlamentaria/ordenDelDiaResultadoLink/2026/15"," 15 2026 AP -")</f>
        <v xml:space="preserve"> 15 2026 AP -</v>
      </c>
      <c r="AJ122" t="s">
        <v>291</v>
      </c>
      <c r="AK122" t="s">
        <v>54</v>
      </c>
      <c r="AM122" t="s">
        <v>286</v>
      </c>
    </row>
    <row r="123" spans="1:39" x14ac:dyDescent="0.25">
      <c r="A123" t="s">
        <v>67</v>
      </c>
      <c r="B123" t="str">
        <f>HYPERLINK("https://www.senado.gob.ar/parlamentario/comisiones/verExp/8.26/PE/PL","8")</f>
        <v>8</v>
      </c>
      <c r="C123" t="str">
        <f>HYPERLINK("https://www.senado.gob.ar/parlamentario/comisiones/verExp/8.26/PE/PL","2026")</f>
        <v>2026</v>
      </c>
      <c r="D123" t="s">
        <v>43</v>
      </c>
      <c r="E123" t="s">
        <v>292</v>
      </c>
      <c r="F123" t="s">
        <v>160</v>
      </c>
      <c r="H123" t="s">
        <v>165</v>
      </c>
      <c r="I123" t="s">
        <v>293</v>
      </c>
      <c r="K123" t="s">
        <v>144</v>
      </c>
      <c r="L123" t="s">
        <v>293</v>
      </c>
      <c r="O123">
        <v>51</v>
      </c>
      <c r="P123" t="s">
        <v>169</v>
      </c>
      <c r="Q123" t="s">
        <v>294</v>
      </c>
      <c r="R123" t="s">
        <v>295</v>
      </c>
      <c r="AI123" t="str">
        <f>HYPERLINK("https://www.senado.gob.ar/parlamentario/parlamentaria/ordenDelDiaResultadoLink/2026/3"," 3 2026 AP -")</f>
        <v xml:space="preserve"> 3 2026 AP -</v>
      </c>
      <c r="AJ123" t="s">
        <v>296</v>
      </c>
      <c r="AK123" t="s">
        <v>297</v>
      </c>
      <c r="AM123" t="s">
        <v>165</v>
      </c>
    </row>
    <row r="124" spans="1:39" x14ac:dyDescent="0.25">
      <c r="A124" t="s">
        <v>67</v>
      </c>
      <c r="B124" t="str">
        <f>HYPERLINK("https://www.senado.gob.ar/parlamentario/comisiones/verExp/7.26/PE/AC","7")</f>
        <v>7</v>
      </c>
      <c r="C124" t="str">
        <f>HYPERLINK("https://www.senado.gob.ar/parlamentario/comisiones/verExp/7.26/PE/AC","2026")</f>
        <v>2026</v>
      </c>
      <c r="D124" t="s">
        <v>68</v>
      </c>
      <c r="E124" t="s">
        <v>298</v>
      </c>
      <c r="F124" t="s">
        <v>299</v>
      </c>
      <c r="H124" t="s">
        <v>286</v>
      </c>
      <c r="I124" t="s">
        <v>300</v>
      </c>
      <c r="K124" t="s">
        <v>288</v>
      </c>
      <c r="L124" t="s">
        <v>300</v>
      </c>
      <c r="O124">
        <v>71</v>
      </c>
      <c r="P124" t="s">
        <v>75</v>
      </c>
      <c r="Q124" t="s">
        <v>301</v>
      </c>
      <c r="R124" t="s">
        <v>290</v>
      </c>
      <c r="AI124" t="str">
        <f>HYPERLINK("https://www.senado.gob.ar/parlamentario/parlamentaria/ordenDelDiaResultadoLink/2026/14"," 14 2026 AP -")</f>
        <v xml:space="preserve"> 14 2026 AP -</v>
      </c>
      <c r="AJ124" t="s">
        <v>291</v>
      </c>
      <c r="AK124" t="s">
        <v>54</v>
      </c>
      <c r="AM124" t="s">
        <v>286</v>
      </c>
    </row>
    <row r="125" spans="1:39" x14ac:dyDescent="0.25">
      <c r="A125" t="s">
        <v>67</v>
      </c>
      <c r="B125" t="str">
        <f>HYPERLINK("https://www.senado.gob.ar/parlamentario/comisiones/verExp/6.26/PE/AC","6")</f>
        <v>6</v>
      </c>
      <c r="C125" t="str">
        <f>HYPERLINK("https://www.senado.gob.ar/parlamentario/comisiones/verExp/6.26/PE/AC","2026")</f>
        <v>2026</v>
      </c>
      <c r="D125" t="s">
        <v>68</v>
      </c>
      <c r="E125" t="s">
        <v>302</v>
      </c>
      <c r="F125" t="s">
        <v>299</v>
      </c>
      <c r="H125" t="s">
        <v>286</v>
      </c>
      <c r="I125" t="s">
        <v>300</v>
      </c>
      <c r="K125" t="s">
        <v>288</v>
      </c>
      <c r="L125" t="s">
        <v>300</v>
      </c>
      <c r="O125">
        <v>71</v>
      </c>
      <c r="P125" t="s">
        <v>75</v>
      </c>
      <c r="Q125" t="s">
        <v>301</v>
      </c>
      <c r="R125" t="s">
        <v>290</v>
      </c>
      <c r="AI125" t="str">
        <f>HYPERLINK("https://www.senado.gob.ar/parlamentario/parlamentaria/ordenDelDiaResultadoLink/2026/13"," 13 2026 AP -")</f>
        <v xml:space="preserve"> 13 2026 AP -</v>
      </c>
      <c r="AJ125" t="s">
        <v>291</v>
      </c>
      <c r="AK125" t="s">
        <v>54</v>
      </c>
      <c r="AM125" t="s">
        <v>286</v>
      </c>
    </row>
    <row r="126" spans="1:39" x14ac:dyDescent="0.25">
      <c r="A126" t="s">
        <v>67</v>
      </c>
      <c r="B126" t="str">
        <f>HYPERLINK("https://www.senado.gob.ar/parlamentario/comisiones/verExp/5.26/PE/AC","5")</f>
        <v>5</v>
      </c>
      <c r="C126" t="str">
        <f>HYPERLINK("https://www.senado.gob.ar/parlamentario/comisiones/verExp/5.26/PE/AC","2026")</f>
        <v>2026</v>
      </c>
      <c r="D126" t="s">
        <v>68</v>
      </c>
      <c r="E126" t="s">
        <v>303</v>
      </c>
      <c r="F126" t="s">
        <v>299</v>
      </c>
      <c r="H126" t="s">
        <v>286</v>
      </c>
      <c r="I126" t="s">
        <v>300</v>
      </c>
      <c r="K126" t="s">
        <v>288</v>
      </c>
      <c r="L126" t="s">
        <v>300</v>
      </c>
      <c r="O126">
        <v>71</v>
      </c>
      <c r="P126" t="s">
        <v>75</v>
      </c>
      <c r="Q126" t="s">
        <v>301</v>
      </c>
      <c r="R126" t="s">
        <v>290</v>
      </c>
      <c r="AI126" t="str">
        <f>HYPERLINK("https://www.senado.gob.ar/parlamentario/parlamentaria/ordenDelDiaResultadoLink/2026/12"," 12 2026 AP -")</f>
        <v xml:space="preserve"> 12 2026 AP -</v>
      </c>
      <c r="AJ126" t="s">
        <v>291</v>
      </c>
      <c r="AK126" t="s">
        <v>54</v>
      </c>
      <c r="AM126" t="s">
        <v>286</v>
      </c>
    </row>
    <row r="127" spans="1:39" x14ac:dyDescent="0.25">
      <c r="A127" t="s">
        <v>67</v>
      </c>
      <c r="B127" t="str">
        <f>HYPERLINK("https://www.senado.gob.ar/parlamentario/comisiones/verExp/4.26/PE/AC","4")</f>
        <v>4</v>
      </c>
      <c r="C127" t="str">
        <f>HYPERLINK("https://www.senado.gob.ar/parlamentario/comisiones/verExp/4.26/PE/AC","2026")</f>
        <v>2026</v>
      </c>
      <c r="D127" t="s">
        <v>68</v>
      </c>
      <c r="E127" t="s">
        <v>304</v>
      </c>
      <c r="F127" t="s">
        <v>299</v>
      </c>
      <c r="H127" t="s">
        <v>286</v>
      </c>
      <c r="I127" t="s">
        <v>300</v>
      </c>
      <c r="K127" t="s">
        <v>288</v>
      </c>
      <c r="L127" t="s">
        <v>300</v>
      </c>
      <c r="O127">
        <v>71</v>
      </c>
      <c r="P127" t="s">
        <v>75</v>
      </c>
      <c r="Q127" t="s">
        <v>301</v>
      </c>
      <c r="R127" t="s">
        <v>290</v>
      </c>
      <c r="AI127" t="str">
        <f>HYPERLINK("https://www.senado.gob.ar/parlamentario/parlamentaria/ordenDelDiaResultadoLink/2026/11"," 11 2026 AP -")</f>
        <v xml:space="preserve"> 11 2026 AP -</v>
      </c>
      <c r="AJ127" t="s">
        <v>291</v>
      </c>
      <c r="AK127" t="s">
        <v>54</v>
      </c>
      <c r="AM127" t="s">
        <v>286</v>
      </c>
    </row>
    <row r="128" spans="1:39" x14ac:dyDescent="0.25">
      <c r="A128" t="s">
        <v>67</v>
      </c>
      <c r="B128" t="str">
        <f>HYPERLINK("https://www.senado.gob.ar/parlamentario/comisiones/verExp/3.26/PE/AC","3")</f>
        <v>3</v>
      </c>
      <c r="C128" t="str">
        <f>HYPERLINK("https://www.senado.gob.ar/parlamentario/comisiones/verExp/3.26/PE/AC","2026")</f>
        <v>2026</v>
      </c>
      <c r="D128" t="s">
        <v>68</v>
      </c>
      <c r="E128" t="s">
        <v>305</v>
      </c>
      <c r="F128" t="s">
        <v>299</v>
      </c>
      <c r="H128" t="s">
        <v>286</v>
      </c>
      <c r="I128" t="s">
        <v>300</v>
      </c>
      <c r="K128" t="s">
        <v>288</v>
      </c>
      <c r="L128" t="s">
        <v>300</v>
      </c>
      <c r="O128">
        <v>71</v>
      </c>
      <c r="P128" t="s">
        <v>75</v>
      </c>
      <c r="Q128" t="s">
        <v>301</v>
      </c>
      <c r="R128" t="s">
        <v>290</v>
      </c>
      <c r="AI128" t="str">
        <f>HYPERLINK("https://www.senado.gob.ar/parlamentario/parlamentaria/ordenDelDiaResultadoLink/2026/10"," 10 2026 AP -")</f>
        <v xml:space="preserve"> 10 2026 AP -</v>
      </c>
      <c r="AJ128" t="s">
        <v>291</v>
      </c>
      <c r="AK128" t="s">
        <v>54</v>
      </c>
      <c r="AM128" t="s">
        <v>286</v>
      </c>
    </row>
    <row r="129" spans="1:39" x14ac:dyDescent="0.25">
      <c r="A129" t="s">
        <v>67</v>
      </c>
      <c r="B129" t="str">
        <f>HYPERLINK("https://www.senado.gob.ar/parlamentario/comisiones/verExp/2.26/PE/AC","2")</f>
        <v>2</v>
      </c>
      <c r="C129" t="str">
        <f>HYPERLINK("https://www.senado.gob.ar/parlamentario/comisiones/verExp/2.26/PE/AC","2026")</f>
        <v>2026</v>
      </c>
      <c r="D129" t="s">
        <v>68</v>
      </c>
      <c r="E129" t="s">
        <v>306</v>
      </c>
      <c r="F129" t="s">
        <v>299</v>
      </c>
      <c r="H129" t="s">
        <v>286</v>
      </c>
      <c r="I129" t="s">
        <v>300</v>
      </c>
      <c r="K129" t="s">
        <v>288</v>
      </c>
      <c r="L129" t="s">
        <v>300</v>
      </c>
      <c r="O129">
        <v>71</v>
      </c>
      <c r="P129" t="s">
        <v>75</v>
      </c>
      <c r="Q129" t="s">
        <v>301</v>
      </c>
      <c r="R129" t="s">
        <v>290</v>
      </c>
      <c r="AI129" t="str">
        <f>HYPERLINK("https://www.senado.gob.ar/parlamentario/parlamentaria/ordenDelDiaResultadoLink/2026/9"," 9 2026 AP -")</f>
        <v xml:space="preserve"> 9 2026 AP -</v>
      </c>
      <c r="AJ129" t="s">
        <v>291</v>
      </c>
      <c r="AK129" t="s">
        <v>54</v>
      </c>
      <c r="AM129" t="s">
        <v>286</v>
      </c>
    </row>
  </sheetData>
  <sheetProtection formatCells="0" formatColumns="0" formatRows="0" insertColumns="0" insertRows="0" insertHyperlinks="0" deleteColumns="0" deleteRows="0" sort="0" autoFilter="0" pivotTables="0"/>
  <hyperlinks>
    <hyperlink ref="B7" r:id="rId1" display="https://www.senado.gob.ar/parlamentario/comisiones/verExp/564.26/S/PL"/>
    <hyperlink ref="C7" r:id="rId2" display="https://www.senado.gob.ar/parlamentario/comisiones/verExp/564.26/S/PL"/>
    <hyperlink ref="AI7" r:id="rId3" display="https://www.senado.gob.ar/parlamentario/parlamentaria/ordenDelDiaResultadoLink/2026/152"/>
    <hyperlink ref="B8" r:id="rId4" display="https://www.senado.gob.ar/parlamentario/comisiones/verExp/562.26/S/PL"/>
    <hyperlink ref="C8" r:id="rId5" display="https://www.senado.gob.ar/parlamentario/comisiones/verExp/562.26/S/PL"/>
    <hyperlink ref="AI8" r:id="rId6" display="https://www.senado.gob.ar/parlamentario/parlamentaria/ordenDelDiaResultadoLink/2026/105"/>
    <hyperlink ref="B9" r:id="rId7" display="https://www.senado.gob.ar/parlamentario/comisiones/verExp/320.26/S/PL"/>
    <hyperlink ref="C9" r:id="rId8" display="https://www.senado.gob.ar/parlamentario/comisiones/verExp/320.26/S/PL"/>
    <hyperlink ref="AI9" r:id="rId9" display="https://www.senado.gob.ar/parlamentario/parlamentaria/ordenDelDiaResultadoLink/2026/152"/>
    <hyperlink ref="B10" r:id="rId10" display="https://www.senado.gob.ar/parlamentario/comisiones/verExp/190.26/PE/AC"/>
    <hyperlink ref="C10" r:id="rId11" display="https://www.senado.gob.ar/parlamentario/comisiones/verExp/190.26/PE/AC"/>
    <hyperlink ref="AI10" r:id="rId12" display="https://www.senado.gob.ar/parlamentario/parlamentaria/ordenDelDiaResultadoLink/2026/219"/>
    <hyperlink ref="B11" r:id="rId13" display="https://www.senado.gob.ar/parlamentario/comisiones/verExp/188.26/PE/AC"/>
    <hyperlink ref="C11" r:id="rId14" display="https://www.senado.gob.ar/parlamentario/comisiones/verExp/188.26/PE/AC"/>
    <hyperlink ref="AI11" r:id="rId15" display="https://www.senado.gob.ar/parlamentario/parlamentaria/ordenDelDiaResultadoLink/2026/218"/>
    <hyperlink ref="B12" r:id="rId16" display="https://www.senado.gob.ar/parlamentario/comisiones/verExp/183.26/PE/AC"/>
    <hyperlink ref="C12" r:id="rId17" display="https://www.senado.gob.ar/parlamentario/comisiones/verExp/183.26/PE/AC"/>
    <hyperlink ref="AI12" r:id="rId18" display="https://www.senado.gob.ar/parlamentario/parlamentaria/ordenDelDiaResultadoLink/2026/217"/>
    <hyperlink ref="B13" r:id="rId19" display="https://www.senado.gob.ar/parlamentario/comisiones/verExp/173.26/PE/AC"/>
    <hyperlink ref="C13" r:id="rId20" display="https://www.senado.gob.ar/parlamentario/comisiones/verExp/173.26/PE/AC"/>
    <hyperlink ref="AI13" r:id="rId21" display="https://www.senado.gob.ar/parlamentario/parlamentaria/ordenDelDiaResultadoLink/2026/216"/>
    <hyperlink ref="B14" r:id="rId22" display="https://www.senado.gob.ar/parlamentario/comisiones/verExp/169.26/PE/CE"/>
    <hyperlink ref="C14" r:id="rId23" display="https://www.senado.gob.ar/parlamentario/comisiones/verExp/169.26/PE/CE"/>
    <hyperlink ref="AI14" r:id="rId24" display="https://www.senado.gob.ar/parlamentario/parlamentaria/ordenDelDiaResultadoLink/2026/102"/>
    <hyperlink ref="B15" r:id="rId25" display="https://www.senado.gob.ar/parlamentario/comisiones/verExp/168.26/PE/AC"/>
    <hyperlink ref="C15" r:id="rId26" display="https://www.senado.gob.ar/parlamentario/comisiones/verExp/168.26/PE/AC"/>
    <hyperlink ref="AI15" r:id="rId27" display="https://www.senado.gob.ar/parlamentario/parlamentaria/ordenDelDiaResultadoLink/2026/215"/>
    <hyperlink ref="B16" r:id="rId28" display="https://www.senado.gob.ar/parlamentario/comisiones/verExp/163.26/PE/AC"/>
    <hyperlink ref="C16" r:id="rId29" display="https://www.senado.gob.ar/parlamentario/comisiones/verExp/163.26/PE/AC"/>
    <hyperlink ref="AI16" r:id="rId30" display="https://www.senado.gob.ar/parlamentario/parlamentaria/ordenDelDiaResultadoLink/2026/214"/>
    <hyperlink ref="B17" r:id="rId31" display="https://www.senado.gob.ar/parlamentario/comisiones/verExp/161.26/PE/AC"/>
    <hyperlink ref="C17" r:id="rId32" display="https://www.senado.gob.ar/parlamentario/comisiones/verExp/161.26/PE/AC"/>
    <hyperlink ref="AI17" r:id="rId33" display="https://www.senado.gob.ar/parlamentario/parlamentaria/ordenDelDiaResultadoLink/2026/213"/>
    <hyperlink ref="B18" r:id="rId34" display="https://www.senado.gob.ar/parlamentario/comisiones/verExp/160.26/PE/AC"/>
    <hyperlink ref="C18" r:id="rId35" display="https://www.senado.gob.ar/parlamentario/comisiones/verExp/160.26/PE/AC"/>
    <hyperlink ref="AI18" r:id="rId36" display="https://www.senado.gob.ar/parlamentario/parlamentaria/ordenDelDiaResultadoLink/2026/212"/>
    <hyperlink ref="B19" r:id="rId37" display="https://www.senado.gob.ar/parlamentario/comisiones/verExp/159.26/PE/AC"/>
    <hyperlink ref="C19" r:id="rId38" display="https://www.senado.gob.ar/parlamentario/comisiones/verExp/159.26/PE/AC"/>
    <hyperlink ref="AI19" r:id="rId39" display="https://www.senado.gob.ar/parlamentario/parlamentaria/ordenDelDiaResultadoLink/2026/211"/>
    <hyperlink ref="B20" r:id="rId40" display="https://www.senado.gob.ar/parlamentario/comisiones/verExp/158.26/PE/AC"/>
    <hyperlink ref="C20" r:id="rId41" display="https://www.senado.gob.ar/parlamentario/comisiones/verExp/158.26/PE/AC"/>
    <hyperlink ref="AI20" r:id="rId42" display="https://www.senado.gob.ar/parlamentario/parlamentaria/ordenDelDiaResultadoLink/2026/210"/>
    <hyperlink ref="B21" r:id="rId43" display="https://www.senado.gob.ar/parlamentario/comisiones/verExp/153.26/PE/AC"/>
    <hyperlink ref="C21" r:id="rId44" display="https://www.senado.gob.ar/parlamentario/comisiones/verExp/153.26/PE/AC"/>
    <hyperlink ref="AI21" r:id="rId45" display="https://www.senado.gob.ar/parlamentario/parlamentaria/ordenDelDiaResultadoLink/2026/208"/>
    <hyperlink ref="B22" r:id="rId46" display="https://www.senado.gob.ar/parlamentario/comisiones/verExp/152.26/PE/AC"/>
    <hyperlink ref="C22" r:id="rId47" display="https://www.senado.gob.ar/parlamentario/comisiones/verExp/152.26/PE/AC"/>
    <hyperlink ref="AI22" r:id="rId48" display="https://www.senado.gob.ar/parlamentario/parlamentaria/ordenDelDiaResultadoLink/2026/207"/>
    <hyperlink ref="B23" r:id="rId49" display="https://www.senado.gob.ar/parlamentario/comisiones/verExp/150.26/PE/AC"/>
    <hyperlink ref="C23" r:id="rId50" display="https://www.senado.gob.ar/parlamentario/comisiones/verExp/150.26/PE/AC"/>
    <hyperlink ref="AI23" r:id="rId51" display="https://www.senado.gob.ar/parlamentario/parlamentaria/ordenDelDiaResultadoLink/2026/206"/>
    <hyperlink ref="B24" r:id="rId52" display="https://www.senado.gob.ar/parlamentario/comisiones/verExp/148.26/PE/AC"/>
    <hyperlink ref="C24" r:id="rId53" display="https://www.senado.gob.ar/parlamentario/comisiones/verExp/148.26/PE/AC"/>
    <hyperlink ref="AI24" r:id="rId54" display="https://www.senado.gob.ar/parlamentario/parlamentaria/ordenDelDiaResultadoLink/2026/205"/>
    <hyperlink ref="B25" r:id="rId55" display="https://www.senado.gob.ar/parlamentario/comisiones/verExp/147.26/PE/AC"/>
    <hyperlink ref="C25" r:id="rId56" display="https://www.senado.gob.ar/parlamentario/comisiones/verExp/147.26/PE/AC"/>
    <hyperlink ref="AI25" r:id="rId57" display="https://www.senado.gob.ar/parlamentario/parlamentaria/ordenDelDiaResultadoLink/2026/204"/>
    <hyperlink ref="B26" r:id="rId58" display="https://www.senado.gob.ar/parlamentario/comisiones/verExp/146.26/PE/AC"/>
    <hyperlink ref="C26" r:id="rId59" display="https://www.senado.gob.ar/parlamentario/comisiones/verExp/146.26/PE/AC"/>
    <hyperlink ref="AI26" r:id="rId60" display="https://www.senado.gob.ar/parlamentario/parlamentaria/ordenDelDiaResultadoLink/2026/203"/>
    <hyperlink ref="B27" r:id="rId61" display="https://www.senado.gob.ar/parlamentario/comisiones/verExp/145.26/PE/AC"/>
    <hyperlink ref="C27" r:id="rId62" display="https://www.senado.gob.ar/parlamentario/comisiones/verExp/145.26/PE/AC"/>
    <hyperlink ref="AI27" r:id="rId63" display="https://www.senado.gob.ar/parlamentario/parlamentaria/ordenDelDiaResultadoLink/2026/202"/>
    <hyperlink ref="B28" r:id="rId64" display="https://www.senado.gob.ar/parlamentario/comisiones/verExp/144.26/PE/AC"/>
    <hyperlink ref="C28" r:id="rId65" display="https://www.senado.gob.ar/parlamentario/comisiones/verExp/144.26/PE/AC"/>
    <hyperlink ref="AI28" r:id="rId66" display="https://www.senado.gob.ar/parlamentario/parlamentaria/ordenDelDiaResultadoLink/2026/201"/>
    <hyperlink ref="B29" r:id="rId67" display="https://www.senado.gob.ar/parlamentario/comisiones/verExp/143.26/PE/AC"/>
    <hyperlink ref="C29" r:id="rId68" display="https://www.senado.gob.ar/parlamentario/comisiones/verExp/143.26/PE/AC"/>
    <hyperlink ref="AI29" r:id="rId69" display="https://www.senado.gob.ar/parlamentario/parlamentaria/ordenDelDiaResultadoLink/2026/200"/>
    <hyperlink ref="B30" r:id="rId70" display="https://www.senado.gob.ar/parlamentario/comisiones/verExp/142.26/PE/AC"/>
    <hyperlink ref="C30" r:id="rId71" display="https://www.senado.gob.ar/parlamentario/comisiones/verExp/142.26/PE/AC"/>
    <hyperlink ref="AI30" r:id="rId72" display="https://www.senado.gob.ar/parlamentario/parlamentaria/ordenDelDiaResultadoLink/2026/129"/>
    <hyperlink ref="B31" r:id="rId73" display="https://www.senado.gob.ar/parlamentario/comisiones/verExp/141.26/PE/AC"/>
    <hyperlink ref="C31" r:id="rId74" display="https://www.senado.gob.ar/parlamentario/comisiones/verExp/141.26/PE/AC"/>
    <hyperlink ref="AI31" r:id="rId75" display="https://www.senado.gob.ar/parlamentario/parlamentaria/ordenDelDiaResultadoLink/2026/128"/>
    <hyperlink ref="B32" r:id="rId76" display="https://www.senado.gob.ar/parlamentario/comisiones/verExp/140.26/PE/AC"/>
    <hyperlink ref="C32" r:id="rId77" display="https://www.senado.gob.ar/parlamentario/comisiones/verExp/140.26/PE/AC"/>
    <hyperlink ref="AI32" r:id="rId78" display="https://www.senado.gob.ar/parlamentario/parlamentaria/ordenDelDiaResultadoLink/2026/127"/>
    <hyperlink ref="B33" r:id="rId79" display="https://www.senado.gob.ar/parlamentario/comisiones/verExp/139.26/PE/AC"/>
    <hyperlink ref="C33" r:id="rId80" display="https://www.senado.gob.ar/parlamentario/comisiones/verExp/139.26/PE/AC"/>
    <hyperlink ref="AI33" r:id="rId81" display="https://www.senado.gob.ar/parlamentario/parlamentaria/ordenDelDiaResultadoLink/2026/126"/>
    <hyperlink ref="B34" r:id="rId82" display="https://www.senado.gob.ar/parlamentario/comisiones/verExp/138.26/PE/AC"/>
    <hyperlink ref="C34" r:id="rId83" display="https://www.senado.gob.ar/parlamentario/comisiones/verExp/138.26/PE/AC"/>
    <hyperlink ref="AI34" r:id="rId84" display="https://www.senado.gob.ar/parlamentario/parlamentaria/ordenDelDiaResultadoLink/2026/125"/>
    <hyperlink ref="B35" r:id="rId85" display="https://www.senado.gob.ar/parlamentario/comisiones/verExp/137.26/PE/AC"/>
    <hyperlink ref="C35" r:id="rId86" display="https://www.senado.gob.ar/parlamentario/comisiones/verExp/137.26/PE/AC"/>
    <hyperlink ref="AI35" r:id="rId87" display="https://www.senado.gob.ar/parlamentario/parlamentaria/ordenDelDiaResultadoLink/2026/124"/>
    <hyperlink ref="B36" r:id="rId88" display="https://www.senado.gob.ar/parlamentario/comisiones/verExp/136.26/PE/AC"/>
    <hyperlink ref="C36" r:id="rId89" display="https://www.senado.gob.ar/parlamentario/comisiones/verExp/136.26/PE/AC"/>
    <hyperlink ref="AI36" r:id="rId90" display="https://www.senado.gob.ar/parlamentario/parlamentaria/ordenDelDiaResultadoLink/2026/123"/>
    <hyperlink ref="B37" r:id="rId91" display="https://www.senado.gob.ar/parlamentario/comisiones/verExp/130.26/S/PL"/>
    <hyperlink ref="C37" r:id="rId92" display="https://www.senado.gob.ar/parlamentario/comisiones/verExp/130.26/S/PL"/>
    <hyperlink ref="AI37" r:id="rId93" display="https://www.senado.gob.ar/parlamentario/parlamentaria/ordenDelDiaResultadoLink/2026/105"/>
    <hyperlink ref="B38" r:id="rId94" display="https://www.senado.gob.ar/parlamentario/comisiones/verExp/128.26/PE/AC"/>
    <hyperlink ref="C38" r:id="rId95" display="https://www.senado.gob.ar/parlamentario/comisiones/verExp/128.26/PE/AC"/>
    <hyperlink ref="AI38" r:id="rId96" display="https://www.senado.gob.ar/parlamentario/parlamentaria/ordenDelDiaResultadoLink/2026/199"/>
    <hyperlink ref="B39" r:id="rId97" display="https://www.senado.gob.ar/parlamentario/comisiones/verExp/121.26/PE/AC"/>
    <hyperlink ref="C39" r:id="rId98" display="https://www.senado.gob.ar/parlamentario/comisiones/verExp/121.26/PE/AC"/>
    <hyperlink ref="AI39" r:id="rId99" display="https://www.senado.gob.ar/parlamentario/parlamentaria/ordenDelDiaResultadoLink/2026/198"/>
    <hyperlink ref="B40" r:id="rId100" display="https://www.senado.gob.ar/parlamentario/comisiones/verExp/112.26/S/PR"/>
    <hyperlink ref="C40" r:id="rId101" display="https://www.senado.gob.ar/parlamentario/comisiones/verExp/112.26/S/PR"/>
    <hyperlink ref="B41" r:id="rId102" display="https://www.senado.gob.ar/parlamentario/comisiones/verExp/105.26/PE/AC"/>
    <hyperlink ref="C41" r:id="rId103" display="https://www.senado.gob.ar/parlamentario/comisiones/verExp/105.26/PE/AC"/>
    <hyperlink ref="AI41" r:id="rId104" display="https://www.senado.gob.ar/parlamentario/parlamentaria/ordenDelDiaResultadoLink/2026/209"/>
    <hyperlink ref="B42" r:id="rId105" display="https://www.senado.gob.ar/parlamentario/comisiones/verExp/98.26/PE/PL"/>
    <hyperlink ref="C42" r:id="rId106" display="https://www.senado.gob.ar/parlamentario/comisiones/verExp/98.26/PE/PL"/>
    <hyperlink ref="AI42" r:id="rId107" display="https://www.senado.gob.ar/parlamentario/parlamentaria/ordenDelDiaResultadoLink/2026/28"/>
    <hyperlink ref="B43" r:id="rId108" display="https://www.senado.gob.ar/parlamentario/comisiones/verExp/96.26/S/PL"/>
    <hyperlink ref="C43" r:id="rId109" display="https://www.senado.gob.ar/parlamentario/comisiones/verExp/96.26/S/PL"/>
    <hyperlink ref="AI43" r:id="rId110" display="https://www.senado.gob.ar/parlamentario/parlamentaria/ordenDelDiaResultadoLink/2026/103"/>
    <hyperlink ref="B44" r:id="rId111" display="https://www.senado.gob.ar/parlamentario/comisiones/verExp/95.26/PE/PL"/>
    <hyperlink ref="C44" r:id="rId112" display="https://www.senado.gob.ar/parlamentario/comisiones/verExp/95.26/PE/PL"/>
    <hyperlink ref="AI44" r:id="rId113" display="https://www.senado.gob.ar/parlamentario/parlamentaria/ordenDelDiaResultadoLink/2026/20"/>
    <hyperlink ref="B45" r:id="rId114" display="https://www.senado.gob.ar/parlamentario/comisiones/verExp/94.26/PE/PL"/>
    <hyperlink ref="C45" r:id="rId115" display="https://www.senado.gob.ar/parlamentario/comisiones/verExp/94.26/PE/PL"/>
    <hyperlink ref="AI45" r:id="rId116" display="https://www.senado.gob.ar/parlamentario/parlamentaria/ordenDelDiaResultadoLink/2026/19"/>
    <hyperlink ref="B46" r:id="rId117" display="https://www.senado.gob.ar/parlamentario/comisiones/verExp/93.26/PE/AC"/>
    <hyperlink ref="C46" r:id="rId118" display="https://www.senado.gob.ar/parlamentario/comisiones/verExp/93.26/PE/AC"/>
    <hyperlink ref="AI46" r:id="rId119" display="https://www.senado.gob.ar/parlamentario/parlamentaria/ordenDelDiaResultadoLink/2026/101"/>
    <hyperlink ref="B47" r:id="rId120" display="https://www.senado.gob.ar/parlamentario/comisiones/verExp/92.26/PE/AC"/>
    <hyperlink ref="C47" r:id="rId121" display="https://www.senado.gob.ar/parlamentario/comisiones/verExp/92.26/PE/AC"/>
    <hyperlink ref="AI47" r:id="rId122" display="https://www.senado.gob.ar/parlamentario/parlamentaria/ordenDelDiaResultadoLink/2026/100"/>
    <hyperlink ref="B48" r:id="rId123" display="https://www.senado.gob.ar/parlamentario/comisiones/verExp/90.26/PE/AC"/>
    <hyperlink ref="C48" r:id="rId124" display="https://www.senado.gob.ar/parlamentario/comisiones/verExp/90.26/PE/AC"/>
    <hyperlink ref="AI48" r:id="rId125" display="https://www.senado.gob.ar/parlamentario/parlamentaria/ordenDelDiaResultadoLink/2026/99"/>
    <hyperlink ref="B49" r:id="rId126" display="https://www.senado.gob.ar/parlamentario/comisiones/verExp/88.26/PE/AC"/>
    <hyperlink ref="C49" r:id="rId127" display="https://www.senado.gob.ar/parlamentario/comisiones/verExp/88.26/PE/AC"/>
    <hyperlink ref="AI49" r:id="rId128" display="https://www.senado.gob.ar/parlamentario/parlamentaria/ordenDelDiaResultadoLink/2026/98"/>
    <hyperlink ref="B50" r:id="rId129" display="https://www.senado.gob.ar/parlamentario/comisiones/verExp/87.26/PE/AC"/>
    <hyperlink ref="C50" r:id="rId130" display="https://www.senado.gob.ar/parlamentario/comisiones/verExp/87.26/PE/AC"/>
    <hyperlink ref="AI50" r:id="rId131" display="https://www.senado.gob.ar/parlamentario/parlamentaria/ordenDelDiaResultadoLink/2026/97"/>
    <hyperlink ref="B51" r:id="rId132" display="https://www.senado.gob.ar/parlamentario/comisiones/verExp/86.26/PE/AC"/>
    <hyperlink ref="C51" r:id="rId133" display="https://www.senado.gob.ar/parlamentario/comisiones/verExp/86.26/PE/AC"/>
    <hyperlink ref="AI51" r:id="rId134" display="https://www.senado.gob.ar/parlamentario/parlamentaria/ordenDelDiaResultadoLink/2026/96"/>
    <hyperlink ref="B52" r:id="rId135" display="https://www.senado.gob.ar/parlamentario/comisiones/verExp/85.26/PE/AC"/>
    <hyperlink ref="C52" r:id="rId136" display="https://www.senado.gob.ar/parlamentario/comisiones/verExp/85.26/PE/AC"/>
    <hyperlink ref="AI52" r:id="rId137" display="https://www.senado.gob.ar/parlamentario/parlamentaria/ordenDelDiaResultadoLink/2026/95"/>
    <hyperlink ref="B53" r:id="rId138" display="https://www.senado.gob.ar/parlamentario/comisiones/verExp/84.26/PE/AC"/>
    <hyperlink ref="C53" r:id="rId139" display="https://www.senado.gob.ar/parlamentario/comisiones/verExp/84.26/PE/AC"/>
    <hyperlink ref="AI53" r:id="rId140" display="https://www.senado.gob.ar/parlamentario/parlamentaria/ordenDelDiaResultadoLink/2026/87"/>
    <hyperlink ref="B54" r:id="rId141" display="https://www.senado.gob.ar/parlamentario/comisiones/verExp/83.26/PE/AC"/>
    <hyperlink ref="C54" r:id="rId142" display="https://www.senado.gob.ar/parlamentario/comisiones/verExp/83.26/PE/AC"/>
    <hyperlink ref="AI54" r:id="rId143" display="https://www.senado.gob.ar/parlamentario/parlamentaria/ordenDelDiaResultadoLink/2026/86"/>
    <hyperlink ref="B55" r:id="rId144" display="https://www.senado.gob.ar/parlamentario/comisiones/verExp/82.26/PE/AC"/>
    <hyperlink ref="C55" r:id="rId145" display="https://www.senado.gob.ar/parlamentario/comisiones/verExp/82.26/PE/AC"/>
    <hyperlink ref="AI55" r:id="rId146" display="https://www.senado.gob.ar/parlamentario/parlamentaria/ordenDelDiaResultadoLink/2026/85"/>
    <hyperlink ref="B56" r:id="rId147" display="https://www.senado.gob.ar/parlamentario/comisiones/verExp/81.26/PE/AC"/>
    <hyperlink ref="C56" r:id="rId148" display="https://www.senado.gob.ar/parlamentario/comisiones/verExp/81.26/PE/AC"/>
    <hyperlink ref="AI56" r:id="rId149" display="https://www.senado.gob.ar/parlamentario/parlamentaria/ordenDelDiaResultadoLink/2026/84"/>
    <hyperlink ref="B57" r:id="rId150" display="https://www.senado.gob.ar/parlamentario/comisiones/verExp/80.26/PE/AC"/>
    <hyperlink ref="C57" r:id="rId151" display="https://www.senado.gob.ar/parlamentario/comisiones/verExp/80.26/PE/AC"/>
    <hyperlink ref="AI57" r:id="rId152" display="https://www.senado.gob.ar/parlamentario/parlamentaria/ordenDelDiaResultadoLink/2026/94"/>
    <hyperlink ref="B58" r:id="rId153" display="https://www.senado.gob.ar/parlamentario/comisiones/verExp/79.26/PE/AC"/>
    <hyperlink ref="C58" r:id="rId154" display="https://www.senado.gob.ar/parlamentario/comisiones/verExp/79.26/PE/AC"/>
    <hyperlink ref="AI58" r:id="rId155" display="https://www.senado.gob.ar/parlamentario/parlamentaria/ordenDelDiaResultadoLink/2026/93"/>
    <hyperlink ref="B59" r:id="rId156" display="https://www.senado.gob.ar/parlamentario/comisiones/verExp/78.26/PE/AC"/>
    <hyperlink ref="C59" r:id="rId157" display="https://www.senado.gob.ar/parlamentario/comisiones/verExp/78.26/PE/AC"/>
    <hyperlink ref="AI59" r:id="rId158" display="https://www.senado.gob.ar/parlamentario/parlamentaria/ordenDelDiaResultadoLink/2026/83"/>
    <hyperlink ref="B60" r:id="rId159" display="https://www.senado.gob.ar/parlamentario/comisiones/verExp/77.26/PE/AC"/>
    <hyperlink ref="C60" r:id="rId160" display="https://www.senado.gob.ar/parlamentario/comisiones/verExp/77.26/PE/AC"/>
    <hyperlink ref="AI60" r:id="rId161" display="https://www.senado.gob.ar/parlamentario/parlamentaria/ordenDelDiaResultadoLink/2026/82"/>
    <hyperlink ref="B61" r:id="rId162" display="https://www.senado.gob.ar/parlamentario/comisiones/verExp/76.26/PE/AC"/>
    <hyperlink ref="C61" r:id="rId163" display="https://www.senado.gob.ar/parlamentario/comisiones/verExp/76.26/PE/AC"/>
    <hyperlink ref="AI61" r:id="rId164" display="https://www.senado.gob.ar/parlamentario/parlamentaria/ordenDelDiaResultadoLink/2026/58"/>
    <hyperlink ref="B62" r:id="rId165" display="https://www.senado.gob.ar/parlamentario/comisiones/verExp/75.26/PE/AC"/>
    <hyperlink ref="C62" r:id="rId166" display="https://www.senado.gob.ar/parlamentario/comisiones/verExp/75.26/PE/AC"/>
    <hyperlink ref="AI62" r:id="rId167" display="https://www.senado.gob.ar/parlamentario/parlamentaria/ordenDelDiaResultadoLink/2026/81"/>
    <hyperlink ref="B63" r:id="rId168" display="https://www.senado.gob.ar/parlamentario/comisiones/verExp/74.26/PE/PL"/>
    <hyperlink ref="C63" r:id="rId169" display="https://www.senado.gob.ar/parlamentario/comisiones/verExp/74.26/PE/PL"/>
    <hyperlink ref="AI63" r:id="rId170" display="https://www.senado.gob.ar/parlamentario/parlamentaria/ordenDelDiaResultadoLink/2026/18"/>
    <hyperlink ref="B64" r:id="rId171" display="https://www.senado.gob.ar/parlamentario/comisiones/verExp/73.26/PE/AC"/>
    <hyperlink ref="C64" r:id="rId172" display="https://www.senado.gob.ar/parlamentario/comisiones/verExp/73.26/PE/AC"/>
    <hyperlink ref="AI64" r:id="rId173" display="https://www.senado.gob.ar/parlamentario/parlamentaria/ordenDelDiaResultadoLink/2026/57"/>
    <hyperlink ref="B65" r:id="rId174" display="https://www.senado.gob.ar/parlamentario/comisiones/verExp/72.26/PE/AC"/>
    <hyperlink ref="C65" r:id="rId175" display="https://www.senado.gob.ar/parlamentario/comisiones/verExp/72.26/PE/AC"/>
    <hyperlink ref="AI65" r:id="rId176" display="https://www.senado.gob.ar/parlamentario/parlamentaria/ordenDelDiaResultadoLink/2026/92"/>
    <hyperlink ref="B66" r:id="rId177" display="https://www.senado.gob.ar/parlamentario/comisiones/verExp/71.26/PE/AC"/>
    <hyperlink ref="C66" r:id="rId178" display="https://www.senado.gob.ar/parlamentario/comisiones/verExp/71.26/PE/AC"/>
    <hyperlink ref="AI66" r:id="rId179" display="https://www.senado.gob.ar/parlamentario/parlamentaria/ordenDelDiaResultadoLink/2026/80"/>
    <hyperlink ref="B67" r:id="rId180" display="https://www.senado.gob.ar/parlamentario/comisiones/verExp/70.26/PE/AC"/>
    <hyperlink ref="C67" r:id="rId181" display="https://www.senado.gob.ar/parlamentario/comisiones/verExp/70.26/PE/AC"/>
    <hyperlink ref="AI67" r:id="rId182" display="https://www.senado.gob.ar/parlamentario/parlamentaria/ordenDelDiaResultadoLink/2026/79"/>
    <hyperlink ref="B68" r:id="rId183" display="https://www.senado.gob.ar/parlamentario/comisiones/verExp/69.26/PE/AC"/>
    <hyperlink ref="C68" r:id="rId184" display="https://www.senado.gob.ar/parlamentario/comisiones/verExp/69.26/PE/AC"/>
    <hyperlink ref="AI68" r:id="rId185" display="https://www.senado.gob.ar/parlamentario/parlamentaria/ordenDelDiaResultadoLink/2026/78"/>
    <hyperlink ref="B69" r:id="rId186" display="https://www.senado.gob.ar/parlamentario/comisiones/verExp/68.26/PE/AC"/>
    <hyperlink ref="C69" r:id="rId187" display="https://www.senado.gob.ar/parlamentario/comisiones/verExp/68.26/PE/AC"/>
    <hyperlink ref="AI69" r:id="rId188" display="https://www.senado.gob.ar/parlamentario/parlamentaria/ordenDelDiaResultadoLink/2026/77"/>
    <hyperlink ref="B70" r:id="rId189" display="https://www.senado.gob.ar/parlamentario/comisiones/verExp/67.26/PE/AC"/>
    <hyperlink ref="C70" r:id="rId190" display="https://www.senado.gob.ar/parlamentario/comisiones/verExp/67.26/PE/AC"/>
    <hyperlink ref="AI70" r:id="rId191" display="https://www.senado.gob.ar/parlamentario/parlamentaria/ordenDelDiaResultadoLink/2026/76"/>
    <hyperlink ref="B71" r:id="rId192" display="https://www.senado.gob.ar/parlamentario/comisiones/verExp/66.26/PE/AC"/>
    <hyperlink ref="C71" r:id="rId193" display="https://www.senado.gob.ar/parlamentario/comisiones/verExp/66.26/PE/AC"/>
    <hyperlink ref="AI71" r:id="rId194" display="https://www.senado.gob.ar/parlamentario/parlamentaria/ordenDelDiaResultadoLink/2026/91"/>
    <hyperlink ref="B72" r:id="rId195" display="https://www.senado.gob.ar/parlamentario/comisiones/verExp/65.26/PE/AC"/>
    <hyperlink ref="C72" r:id="rId196" display="https://www.senado.gob.ar/parlamentario/comisiones/verExp/65.26/PE/AC"/>
    <hyperlink ref="AI72" r:id="rId197" display="https://www.senado.gob.ar/parlamentario/parlamentaria/ordenDelDiaResultadoLink/2026/75"/>
    <hyperlink ref="B73" r:id="rId198" display="https://www.senado.gob.ar/parlamentario/comisiones/verExp/64.26/PE/AC"/>
    <hyperlink ref="C73" r:id="rId199" display="https://www.senado.gob.ar/parlamentario/comisiones/verExp/64.26/PE/AC"/>
    <hyperlink ref="AI73" r:id="rId200" display="https://www.senado.gob.ar/parlamentario/parlamentaria/ordenDelDiaResultadoLink/2026/74"/>
    <hyperlink ref="B74" r:id="rId201" display="https://www.senado.gob.ar/parlamentario/comisiones/verExp/63.26/PE/AC"/>
    <hyperlink ref="C74" r:id="rId202" display="https://www.senado.gob.ar/parlamentario/comisiones/verExp/63.26/PE/AC"/>
    <hyperlink ref="AI74" r:id="rId203" display="https://www.senado.gob.ar/parlamentario/parlamentaria/ordenDelDiaResultadoLink/2026/73"/>
    <hyperlink ref="B75" r:id="rId204" display="https://www.senado.gob.ar/parlamentario/comisiones/verExp/62.26/PE/AC"/>
    <hyperlink ref="C75" r:id="rId205" display="https://www.senado.gob.ar/parlamentario/comisiones/verExp/62.26/PE/AC"/>
    <hyperlink ref="AI75" r:id="rId206" display="https://www.senado.gob.ar/parlamentario/parlamentaria/ordenDelDiaResultadoLink/2026/72"/>
    <hyperlink ref="B76" r:id="rId207" display="https://www.senado.gob.ar/parlamentario/comisiones/verExp/61.26/PE/AC"/>
    <hyperlink ref="C76" r:id="rId208" display="https://www.senado.gob.ar/parlamentario/comisiones/verExp/61.26/PE/AC"/>
    <hyperlink ref="AI76" r:id="rId209" display="https://www.senado.gob.ar/parlamentario/parlamentaria/ordenDelDiaResultadoLink/2026/71"/>
    <hyperlink ref="B77" r:id="rId210" display="https://www.senado.gob.ar/parlamentario/comisiones/verExp/60.26/PE/AC"/>
    <hyperlink ref="C77" r:id="rId211" display="https://www.senado.gob.ar/parlamentario/comisiones/verExp/60.26/PE/AC"/>
    <hyperlink ref="AI77" r:id="rId212" display="https://www.senado.gob.ar/parlamentario/parlamentaria/ordenDelDiaResultadoLink/2026/70"/>
    <hyperlink ref="B78" r:id="rId213" display="https://www.senado.gob.ar/parlamentario/comisiones/verExp/59.26/PE/AC"/>
    <hyperlink ref="C78" r:id="rId214" display="https://www.senado.gob.ar/parlamentario/comisiones/verExp/59.26/PE/AC"/>
    <hyperlink ref="AI78" r:id="rId215" display="https://www.senado.gob.ar/parlamentario/parlamentaria/ordenDelDiaResultadoLink/2026/69"/>
    <hyperlink ref="B79" r:id="rId216" display="https://www.senado.gob.ar/parlamentario/comisiones/verExp/58.26/PE/AC"/>
    <hyperlink ref="C79" r:id="rId217" display="https://www.senado.gob.ar/parlamentario/comisiones/verExp/58.26/PE/AC"/>
    <hyperlink ref="AI79" r:id="rId218" display="https://www.senado.gob.ar/parlamentario/parlamentaria/ordenDelDiaResultadoLink/2026/90"/>
    <hyperlink ref="B80" r:id="rId219" display="https://www.senado.gob.ar/parlamentario/comisiones/verExp/57.26/PE/AC"/>
    <hyperlink ref="C80" r:id="rId220" display="https://www.senado.gob.ar/parlamentario/comisiones/verExp/57.26/PE/AC"/>
    <hyperlink ref="AI80" r:id="rId221" display="https://www.senado.gob.ar/parlamentario/parlamentaria/ordenDelDiaResultadoLink/2026/68"/>
    <hyperlink ref="B81" r:id="rId222" display="https://www.senado.gob.ar/parlamentario/comisiones/verExp/56.26/PE/AC"/>
    <hyperlink ref="C81" r:id="rId223" display="https://www.senado.gob.ar/parlamentario/comisiones/verExp/56.26/PE/AC"/>
    <hyperlink ref="AI81" r:id="rId224" display="https://www.senado.gob.ar/parlamentario/parlamentaria/ordenDelDiaResultadoLink/2026/67"/>
    <hyperlink ref="B82" r:id="rId225" display="https://www.senado.gob.ar/parlamentario/comisiones/verExp/55.26/PE/AC"/>
    <hyperlink ref="C82" r:id="rId226" display="https://www.senado.gob.ar/parlamentario/comisiones/verExp/55.26/PE/AC"/>
    <hyperlink ref="AI82" r:id="rId227" display="https://www.senado.gob.ar/parlamentario/parlamentaria/ordenDelDiaResultadoLink/2026/56"/>
    <hyperlink ref="B83" r:id="rId228" display="https://www.senado.gob.ar/parlamentario/comisiones/verExp/54.26/PE/AC"/>
    <hyperlink ref="C83" r:id="rId229" display="https://www.senado.gob.ar/parlamentario/comisiones/verExp/54.26/PE/AC"/>
    <hyperlink ref="AI83" r:id="rId230" display="https://www.senado.gob.ar/parlamentario/parlamentaria/ordenDelDiaResultadoLink/2026/66"/>
    <hyperlink ref="B84" r:id="rId231" display="https://www.senado.gob.ar/parlamentario/comisiones/verExp/53.26/PE/AC"/>
    <hyperlink ref="C84" r:id="rId232" display="https://www.senado.gob.ar/parlamentario/comisiones/verExp/53.26/PE/AC"/>
    <hyperlink ref="AI84" r:id="rId233" display="https://www.senado.gob.ar/parlamentario/parlamentaria/ordenDelDiaResultadoLink/2026/65"/>
    <hyperlink ref="B85" r:id="rId234" display="https://www.senado.gob.ar/parlamentario/comisiones/verExp/52.26/PE/AC"/>
    <hyperlink ref="C85" r:id="rId235" display="https://www.senado.gob.ar/parlamentario/comisiones/verExp/52.26/PE/AC"/>
    <hyperlink ref="AI85" r:id="rId236" display="https://www.senado.gob.ar/parlamentario/parlamentaria/ordenDelDiaResultadoLink/2026/64"/>
    <hyperlink ref="B86" r:id="rId237" display="https://www.senado.gob.ar/parlamentario/comisiones/verExp/51.26/PE/AC"/>
    <hyperlink ref="C86" r:id="rId238" display="https://www.senado.gob.ar/parlamentario/comisiones/verExp/51.26/PE/AC"/>
    <hyperlink ref="AI86" r:id="rId239" display="https://www.senado.gob.ar/parlamentario/parlamentaria/ordenDelDiaResultadoLink/2026/55"/>
    <hyperlink ref="B87" r:id="rId240" display="https://www.senado.gob.ar/parlamentario/comisiones/verExp/50.26/PE/AC"/>
    <hyperlink ref="C87" r:id="rId241" display="https://www.senado.gob.ar/parlamentario/comisiones/verExp/50.26/PE/AC"/>
    <hyperlink ref="AI87" r:id="rId242" display="https://www.senado.gob.ar/parlamentario/parlamentaria/ordenDelDiaResultadoLink/2026/54"/>
    <hyperlink ref="B88" r:id="rId243" display="https://www.senado.gob.ar/parlamentario/comisiones/verExp/49.26/PE/AC"/>
    <hyperlink ref="C88" r:id="rId244" display="https://www.senado.gob.ar/parlamentario/comisiones/verExp/49.26/PE/AC"/>
    <hyperlink ref="AI88" r:id="rId245" display="https://www.senado.gob.ar/parlamentario/parlamentaria/ordenDelDiaResultadoLink/2026/53"/>
    <hyperlink ref="B89" r:id="rId246" display="https://www.senado.gob.ar/parlamentario/comisiones/verExp/48.26/PE/AC"/>
    <hyperlink ref="C89" r:id="rId247" display="https://www.senado.gob.ar/parlamentario/comisiones/verExp/48.26/PE/AC"/>
    <hyperlink ref="AI89" r:id="rId248" display="https://www.senado.gob.ar/parlamentario/parlamentaria/ordenDelDiaResultadoLink/2026/52"/>
    <hyperlink ref="B90" r:id="rId249" display="https://www.senado.gob.ar/parlamentario/comisiones/verExp/47.26/PE/AC"/>
    <hyperlink ref="C90" r:id="rId250" display="https://www.senado.gob.ar/parlamentario/comisiones/verExp/47.26/PE/AC"/>
    <hyperlink ref="AI90" r:id="rId251" display="https://www.senado.gob.ar/parlamentario/parlamentaria/ordenDelDiaResultadoLink/2026/51"/>
    <hyperlink ref="B91" r:id="rId252" display="https://www.senado.gob.ar/parlamentario/comisiones/verExp/46.26/PE/AC"/>
    <hyperlink ref="C91" r:id="rId253" display="https://www.senado.gob.ar/parlamentario/comisiones/verExp/46.26/PE/AC"/>
    <hyperlink ref="AI91" r:id="rId254" display="https://www.senado.gob.ar/parlamentario/parlamentaria/ordenDelDiaResultadoLink/2026/50"/>
    <hyperlink ref="B92" r:id="rId255" display="https://www.senado.gob.ar/parlamentario/comisiones/verExp/45.26/PE/AC"/>
    <hyperlink ref="C92" r:id="rId256" display="https://www.senado.gob.ar/parlamentario/comisiones/verExp/45.26/PE/AC"/>
    <hyperlink ref="AI92" r:id="rId257" display="https://www.senado.gob.ar/parlamentario/parlamentaria/ordenDelDiaResultadoLink/2026/89"/>
    <hyperlink ref="B93" r:id="rId258" display="https://www.senado.gob.ar/parlamentario/comisiones/verExp/44.26/PE/AC"/>
    <hyperlink ref="C93" r:id="rId259" display="https://www.senado.gob.ar/parlamentario/comisiones/verExp/44.26/PE/AC"/>
    <hyperlink ref="AI93" r:id="rId260" display="https://www.senado.gob.ar/parlamentario/parlamentaria/ordenDelDiaResultadoLink/2026/49"/>
    <hyperlink ref="B94" r:id="rId261" display="https://www.senado.gob.ar/parlamentario/comisiones/verExp/43.26/PE/AC"/>
    <hyperlink ref="C94" r:id="rId262" display="https://www.senado.gob.ar/parlamentario/comisiones/verExp/43.26/PE/AC"/>
    <hyperlink ref="AI94" r:id="rId263" display="https://www.senado.gob.ar/parlamentario/parlamentaria/ordenDelDiaResultadoLink/2026/48"/>
    <hyperlink ref="B95" r:id="rId264" display="https://www.senado.gob.ar/parlamentario/comisiones/verExp/42.26/PE/AC"/>
    <hyperlink ref="C95" r:id="rId265" display="https://www.senado.gob.ar/parlamentario/comisiones/verExp/42.26/PE/AC"/>
    <hyperlink ref="AI95" r:id="rId266" display="https://www.senado.gob.ar/parlamentario/parlamentaria/ordenDelDiaResultadoLink/2026/47"/>
    <hyperlink ref="B96" r:id="rId267" display="https://www.senado.gob.ar/parlamentario/comisiones/verExp/41.26/PE/AC"/>
    <hyperlink ref="C96" r:id="rId268" display="https://www.senado.gob.ar/parlamentario/comisiones/verExp/41.26/PE/AC"/>
    <hyperlink ref="AI96" r:id="rId269" display="https://www.senado.gob.ar/parlamentario/parlamentaria/ordenDelDiaResultadoLink/2026/46"/>
    <hyperlink ref="B97" r:id="rId270" display="https://www.senado.gob.ar/parlamentario/comisiones/verExp/40.26/PE/AC"/>
    <hyperlink ref="C97" r:id="rId271" display="https://www.senado.gob.ar/parlamentario/comisiones/verExp/40.26/PE/AC"/>
    <hyperlink ref="AI97" r:id="rId272" display="https://www.senado.gob.ar/parlamentario/parlamentaria/ordenDelDiaResultadoLink/2026/45"/>
    <hyperlink ref="B98" r:id="rId273" display="https://www.senado.gob.ar/parlamentario/comisiones/verExp/39.26/PE/AC"/>
    <hyperlink ref="C98" r:id="rId274" display="https://www.senado.gob.ar/parlamentario/comisiones/verExp/39.26/PE/AC"/>
    <hyperlink ref="AI98" r:id="rId275" display="https://www.senado.gob.ar/parlamentario/parlamentaria/ordenDelDiaResultadoLink/2026/44"/>
    <hyperlink ref="B99" r:id="rId276" display="https://www.senado.gob.ar/parlamentario/comisiones/verExp/38.26/PE/AC"/>
    <hyperlink ref="C99" r:id="rId277" display="https://www.senado.gob.ar/parlamentario/comisiones/verExp/38.26/PE/AC"/>
    <hyperlink ref="AI99" r:id="rId278" display="https://www.senado.gob.ar/parlamentario/parlamentaria/ordenDelDiaResultadoLink/2026/43"/>
    <hyperlink ref="B100" r:id="rId279" display="https://www.senado.gob.ar/parlamentario/comisiones/verExp/36.26/PE/AC"/>
    <hyperlink ref="C100" r:id="rId280" display="https://www.senado.gob.ar/parlamentario/comisiones/verExp/36.26/PE/AC"/>
    <hyperlink ref="AI100" r:id="rId281" display="https://www.senado.gob.ar/parlamentario/parlamentaria/ordenDelDiaResultadoLink/2026/63"/>
    <hyperlink ref="B101" r:id="rId282" display="https://www.senado.gob.ar/parlamentario/comisiones/verExp/34.26/PE/AC"/>
    <hyperlink ref="C101" r:id="rId283" display="https://www.senado.gob.ar/parlamentario/comisiones/verExp/34.26/PE/AC"/>
    <hyperlink ref="AI101" r:id="rId284" display="https://www.senado.gob.ar/parlamentario/parlamentaria/ordenDelDiaResultadoLink/2026/88"/>
    <hyperlink ref="B102" r:id="rId285" display="https://www.senado.gob.ar/parlamentario/comisiones/verExp/33.26/PE/AC"/>
    <hyperlink ref="C102" r:id="rId286" display="https://www.senado.gob.ar/parlamentario/comisiones/verExp/33.26/PE/AC"/>
    <hyperlink ref="AI102" r:id="rId287" display="https://www.senado.gob.ar/parlamentario/parlamentaria/ordenDelDiaResultadoLink/2026/42"/>
    <hyperlink ref="B103" r:id="rId288" display="https://www.senado.gob.ar/parlamentario/comisiones/verExp/32.26/PE/AC"/>
    <hyperlink ref="C103" r:id="rId289" display="https://www.senado.gob.ar/parlamentario/comisiones/verExp/32.26/PE/AC"/>
    <hyperlink ref="AI103" r:id="rId290" display="https://www.senado.gob.ar/parlamentario/parlamentaria/ordenDelDiaResultadoLink/2026/41"/>
    <hyperlink ref="B104" r:id="rId291" display="https://www.senado.gob.ar/parlamentario/comisiones/verExp/31.26/PE/AC"/>
    <hyperlink ref="C104" r:id="rId292" display="https://www.senado.gob.ar/parlamentario/comisiones/verExp/31.26/PE/AC"/>
    <hyperlink ref="AI104" r:id="rId293" display="https://www.senado.gob.ar/parlamentario/parlamentaria/ordenDelDiaResultadoLink/2026/112"/>
    <hyperlink ref="B105" r:id="rId294" display="https://www.senado.gob.ar/parlamentario/comisiones/verExp/30.26/PE/AC"/>
    <hyperlink ref="C105" r:id="rId295" display="https://www.senado.gob.ar/parlamentario/comisiones/verExp/30.26/PE/AC"/>
    <hyperlink ref="AI105" r:id="rId296" display="https://www.senado.gob.ar/parlamentario/parlamentaria/ordenDelDiaResultadoLink/2026/62"/>
    <hyperlink ref="B106" r:id="rId297" display="https://www.senado.gob.ar/parlamentario/comisiones/verExp/29.26/PE/AC"/>
    <hyperlink ref="C106" r:id="rId298" display="https://www.senado.gob.ar/parlamentario/comisiones/verExp/29.26/PE/AC"/>
    <hyperlink ref="AI106" r:id="rId299" display="https://www.senado.gob.ar/parlamentario/parlamentaria/ordenDelDiaResultadoLink/2026/40"/>
    <hyperlink ref="B107" r:id="rId300" display="https://www.senado.gob.ar/parlamentario/comisiones/verExp/28.26/PE/AC"/>
    <hyperlink ref="C107" r:id="rId301" display="https://www.senado.gob.ar/parlamentario/comisiones/verExp/28.26/PE/AC"/>
    <hyperlink ref="AI107" r:id="rId302" display="https://www.senado.gob.ar/parlamentario/parlamentaria/ordenDelDiaResultadoLink/2026/39"/>
    <hyperlink ref="B108" r:id="rId303" display="https://www.senado.gob.ar/parlamentario/comisiones/verExp/27.26/PE/AC"/>
    <hyperlink ref="C108" r:id="rId304" display="https://www.senado.gob.ar/parlamentario/comisiones/verExp/27.26/PE/AC"/>
    <hyperlink ref="AI108" r:id="rId305" display="https://www.senado.gob.ar/parlamentario/parlamentaria/ordenDelDiaResultadoLink/2026/61"/>
    <hyperlink ref="B109" r:id="rId306" display="https://www.senado.gob.ar/parlamentario/comisiones/verExp/26.26/PE/AC"/>
    <hyperlink ref="C109" r:id="rId307" display="https://www.senado.gob.ar/parlamentario/comisiones/verExp/26.26/PE/AC"/>
    <hyperlink ref="AI109" r:id="rId308" display="https://www.senado.gob.ar/parlamentario/parlamentaria/ordenDelDiaResultadoLink/2026/38"/>
    <hyperlink ref="B110" r:id="rId309" display="https://www.senado.gob.ar/parlamentario/comisiones/verExp/25.26/PE/AC"/>
    <hyperlink ref="C110" r:id="rId310" display="https://www.senado.gob.ar/parlamentario/comisiones/verExp/25.26/PE/AC"/>
    <hyperlink ref="AI110" r:id="rId311" display="https://www.senado.gob.ar/parlamentario/parlamentaria/ordenDelDiaResultadoLink/2026/37"/>
    <hyperlink ref="B111" r:id="rId312" display="https://www.senado.gob.ar/parlamentario/comisiones/verExp/24.26/PE/AC"/>
    <hyperlink ref="C111" r:id="rId313" display="https://www.senado.gob.ar/parlamentario/comisiones/verExp/24.26/PE/AC"/>
    <hyperlink ref="AI111" r:id="rId314" display="https://www.senado.gob.ar/parlamentario/parlamentaria/ordenDelDiaResultadoLink/2026/60"/>
    <hyperlink ref="B112" r:id="rId315" display="https://www.senado.gob.ar/parlamentario/comisiones/verExp/23.26/PE/AC"/>
    <hyperlink ref="C112" r:id="rId316" display="https://www.senado.gob.ar/parlamentario/comisiones/verExp/23.26/PE/AC"/>
    <hyperlink ref="AI112" r:id="rId317" display="https://www.senado.gob.ar/parlamentario/parlamentaria/ordenDelDiaResultadoLink/2026/36"/>
    <hyperlink ref="B113" r:id="rId318" display="https://www.senado.gob.ar/parlamentario/comisiones/verExp/22.26/PE/AC"/>
    <hyperlink ref="C113" r:id="rId319" display="https://www.senado.gob.ar/parlamentario/comisiones/verExp/22.26/PE/AC"/>
    <hyperlink ref="AI113" r:id="rId320" display="https://www.senado.gob.ar/parlamentario/parlamentaria/ordenDelDiaResultadoLink/2026/35"/>
    <hyperlink ref="B114" r:id="rId321" display="https://www.senado.gob.ar/parlamentario/comisiones/verExp/21.26/PE/AC"/>
    <hyperlink ref="C114" r:id="rId322" display="https://www.senado.gob.ar/parlamentario/comisiones/verExp/21.26/PE/AC"/>
    <hyperlink ref="AI114" r:id="rId323" display="https://www.senado.gob.ar/parlamentario/parlamentaria/ordenDelDiaResultadoLink/2026/34"/>
    <hyperlink ref="B115" r:id="rId324" display="https://www.senado.gob.ar/parlamentario/comisiones/verExp/20.26/PE/AC"/>
    <hyperlink ref="C115" r:id="rId325" display="https://www.senado.gob.ar/parlamentario/comisiones/verExp/20.26/PE/AC"/>
    <hyperlink ref="AI115" r:id="rId326" display="https://www.senado.gob.ar/parlamentario/parlamentaria/ordenDelDiaResultadoLink/2026/33"/>
    <hyperlink ref="B116" r:id="rId327" display="https://www.senado.gob.ar/parlamentario/comisiones/verExp/19.26/PE/AC"/>
    <hyperlink ref="C116" r:id="rId328" display="https://www.senado.gob.ar/parlamentario/comisiones/verExp/19.26/PE/AC"/>
    <hyperlink ref="AI116" r:id="rId329" display="https://www.senado.gob.ar/parlamentario/parlamentaria/ordenDelDiaResultadoLink/2026/32"/>
    <hyperlink ref="B117" r:id="rId330" display="https://www.senado.gob.ar/parlamentario/comisiones/verExp/18.26/PE/AC"/>
    <hyperlink ref="C117" r:id="rId331" display="https://www.senado.gob.ar/parlamentario/comisiones/verExp/18.26/PE/AC"/>
    <hyperlink ref="AI117" r:id="rId332" display="https://www.senado.gob.ar/parlamentario/parlamentaria/ordenDelDiaResultadoLink/2026/31"/>
    <hyperlink ref="B118" r:id="rId333" display="https://www.senado.gob.ar/parlamentario/comisiones/verExp/17.26/PE/AC"/>
    <hyperlink ref="C118" r:id="rId334" display="https://www.senado.gob.ar/parlamentario/comisiones/verExp/17.26/PE/AC"/>
    <hyperlink ref="AI118" r:id="rId335" display="https://www.senado.gob.ar/parlamentario/parlamentaria/ordenDelDiaResultadoLink/2026/30"/>
    <hyperlink ref="B119" r:id="rId336" display="https://www.senado.gob.ar/parlamentario/comisiones/verExp/16.26/PE/AC"/>
    <hyperlink ref="C119" r:id="rId337" display="https://www.senado.gob.ar/parlamentario/comisiones/verExp/16.26/PE/AC"/>
    <hyperlink ref="AI119" r:id="rId338" display="https://www.senado.gob.ar/parlamentario/parlamentaria/ordenDelDiaResultadoLink/2026/59"/>
    <hyperlink ref="B120" r:id="rId339" display="https://www.senado.gob.ar/parlamentario/comisiones/verExp/15.26/PE/AC"/>
    <hyperlink ref="C120" r:id="rId340" display="https://www.senado.gob.ar/parlamentario/comisiones/verExp/15.26/PE/AC"/>
    <hyperlink ref="AI120" r:id="rId341" display="https://www.senado.gob.ar/parlamentario/parlamentaria/ordenDelDiaResultadoLink/2026/29"/>
    <hyperlink ref="B121" r:id="rId342" display="https://www.senado.gob.ar/parlamentario/comisiones/verExp/13.26/PE/PL"/>
    <hyperlink ref="C121" r:id="rId343" display="https://www.senado.gob.ar/parlamentario/comisiones/verExp/13.26/PE/PL"/>
    <hyperlink ref="AI121" r:id="rId344" display="https://www.senado.gob.ar/parlamentario/parlamentaria/ordenDelDiaResultadoLink/2026/104"/>
    <hyperlink ref="B122" r:id="rId345" display="https://www.senado.gob.ar/parlamentario/comisiones/verExp/9.26/PE/AC"/>
    <hyperlink ref="C122" r:id="rId346" display="https://www.senado.gob.ar/parlamentario/comisiones/verExp/9.26/PE/AC"/>
    <hyperlink ref="AI122" r:id="rId347" display="https://www.senado.gob.ar/parlamentario/parlamentaria/ordenDelDiaResultadoLink/2026/15"/>
    <hyperlink ref="B123" r:id="rId348" display="https://www.senado.gob.ar/parlamentario/comisiones/verExp/8.26/PE/PL"/>
    <hyperlink ref="C123" r:id="rId349" display="https://www.senado.gob.ar/parlamentario/comisiones/verExp/8.26/PE/PL"/>
    <hyperlink ref="AI123" r:id="rId350" display="https://www.senado.gob.ar/parlamentario/parlamentaria/ordenDelDiaResultadoLink/2026/3"/>
    <hyperlink ref="B124" r:id="rId351" display="https://www.senado.gob.ar/parlamentario/comisiones/verExp/7.26/PE/AC"/>
    <hyperlink ref="C124" r:id="rId352" display="https://www.senado.gob.ar/parlamentario/comisiones/verExp/7.26/PE/AC"/>
    <hyperlink ref="AI124" r:id="rId353" display="https://www.senado.gob.ar/parlamentario/parlamentaria/ordenDelDiaResultadoLink/2026/14"/>
    <hyperlink ref="B125" r:id="rId354" display="https://www.senado.gob.ar/parlamentario/comisiones/verExp/6.26/PE/AC"/>
    <hyperlink ref="C125" r:id="rId355" display="https://www.senado.gob.ar/parlamentario/comisiones/verExp/6.26/PE/AC"/>
    <hyperlink ref="AI125" r:id="rId356" display="https://www.senado.gob.ar/parlamentario/parlamentaria/ordenDelDiaResultadoLink/2026/13"/>
    <hyperlink ref="B126" r:id="rId357" display="https://www.senado.gob.ar/parlamentario/comisiones/verExp/5.26/PE/AC"/>
    <hyperlink ref="C126" r:id="rId358" display="https://www.senado.gob.ar/parlamentario/comisiones/verExp/5.26/PE/AC"/>
    <hyperlink ref="AI126" r:id="rId359" display="https://www.senado.gob.ar/parlamentario/parlamentaria/ordenDelDiaResultadoLink/2026/12"/>
    <hyperlink ref="B127" r:id="rId360" display="https://www.senado.gob.ar/parlamentario/comisiones/verExp/4.26/PE/AC"/>
    <hyperlink ref="C127" r:id="rId361" display="https://www.senado.gob.ar/parlamentario/comisiones/verExp/4.26/PE/AC"/>
    <hyperlink ref="AI127" r:id="rId362" display="https://www.senado.gob.ar/parlamentario/parlamentaria/ordenDelDiaResultadoLink/2026/11"/>
    <hyperlink ref="B128" r:id="rId363" display="https://www.senado.gob.ar/parlamentario/comisiones/verExp/3.26/PE/AC"/>
    <hyperlink ref="C128" r:id="rId364" display="https://www.senado.gob.ar/parlamentario/comisiones/verExp/3.26/PE/AC"/>
    <hyperlink ref="AI128" r:id="rId365" display="https://www.senado.gob.ar/parlamentario/parlamentaria/ordenDelDiaResultadoLink/2026/10"/>
    <hyperlink ref="B129" r:id="rId366" display="https://www.senado.gob.ar/parlamentario/comisiones/verExp/2.26/PE/AC"/>
    <hyperlink ref="C129" r:id="rId367" display="https://www.senado.gob.ar/parlamentario/comisiones/verExp/2.26/PE/AC"/>
    <hyperlink ref="AI129" r:id="rId368" display="https://www.senado.gob.ar/parlamentario/parlamentaria/ordenDelDiaResultadoLink/2026/9"/>
  </hyperlink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Expedientes - ComisiÃ³n</dc:title>
  <dc:subject>Expedientes - ComisiÃ³n</dc:subject>
  <dc:creator>Sistema ExpeCom</dc:creator>
  <cp:keywords>Office Excel</cp:keywords>
  <dc:description>Expedientes - ComisiÃ³n</dc:description>
  <cp:lastModifiedBy>Bonifacio, Mariano</cp:lastModifiedBy>
  <dcterms:created xsi:type="dcterms:W3CDTF">2026-08-20T17:07:55Z</dcterms:created>
  <dcterms:modified xsi:type="dcterms:W3CDTF">2026-08-20T20:12:51Z</dcterms:modified>
  <cp:category>Test result file</cp:category>
</cp:coreProperties>
</file>